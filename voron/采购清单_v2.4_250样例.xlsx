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YX\Documents\Tencent Files\1007989684\FileRecv\"/>
    </mc:Choice>
  </mc:AlternateContent>
  <xr:revisionPtr revIDLastSave="0" documentId="13_ncr:1_{20CCCDCD-4535-41D2-8D3F-8D5C072903FA}" xr6:coauthVersionLast="47" xr6:coauthVersionMax="47" xr10:uidLastSave="{00000000-0000-0000-0000-000000000000}"/>
  <bookViews>
    <workbookView xWindow="-120" yWindow="-120" windowWidth="21840" windowHeight="13290" xr2:uid="{00000000-000D-0000-FFFF-FFFF00000000}"/>
  </bookViews>
  <sheets>
    <sheet name="采购清单_带连接" sheetId="1" r:id="rId1"/>
  </sheets>
  <definedNames>
    <definedName name="_xlnm._FilterDatabase" localSheetId="0" hidden="1">采购清单_带连接!$A$1:$F$120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8" i="1" l="1"/>
  <c r="J119" i="1"/>
  <c r="J114" i="1"/>
  <c r="J108" i="1"/>
  <c r="J72" i="1"/>
  <c r="J63" i="1"/>
  <c r="J40" i="1"/>
  <c r="J24" i="1"/>
  <c r="K120" i="1" l="1"/>
</calcChain>
</file>

<file path=xl/sharedStrings.xml><?xml version="1.0" encoding="utf-8"?>
<sst xmlns="http://schemas.openxmlformats.org/spreadsheetml/2006/main" count="420" uniqueCount="290">
  <si>
    <t>M5x40 SHCS</t>
  </si>
  <si>
    <t>M5x30 BHCS</t>
  </si>
  <si>
    <t>M5x30 圆头内六角螺丝22</t>
  </si>
  <si>
    <t>M3x30 SHCS</t>
  </si>
  <si>
    <t>M3x30 普通内六角螺丝25</t>
  </si>
  <si>
    <t>M5x10 BHCS</t>
  </si>
  <si>
    <t>M5x10 圆头内六角螺丝40</t>
  </si>
  <si>
    <t>M5x16 BHCS</t>
  </si>
  <si>
    <t>M5x16 圆头内六角螺丝27</t>
  </si>
  <si>
    <t>M5 Hexnut</t>
  </si>
  <si>
    <t>M5 螺母26</t>
  </si>
  <si>
    <t>M5 T-nut HNTAJ5-5</t>
  </si>
  <si>
    <t>M3 T-nut HNTAJ5-3</t>
  </si>
  <si>
    <t>M3 T型螺母 HNTAJ5-3 120</t>
  </si>
  <si>
    <t>M3 Threaded Insert</t>
  </si>
  <si>
    <t>M3x12 SHCS</t>
  </si>
  <si>
    <t>M3x12 普通内六角螺丝23</t>
  </si>
  <si>
    <t>M5 1mm Spacer</t>
  </si>
  <si>
    <t>M2x10 Self-tapping Screw</t>
  </si>
  <si>
    <t>M2x10 自攻螺丝15</t>
  </si>
  <si>
    <t>M3x40 SHCS</t>
  </si>
  <si>
    <t>M3x40 普通内六角螺丝28</t>
  </si>
  <si>
    <t>M3 Washer</t>
  </si>
  <si>
    <t>M3x20 SHCS</t>
  </si>
  <si>
    <t>M3x20 普通内六角螺丝29</t>
  </si>
  <si>
    <t>M3x16 SHCS</t>
  </si>
  <si>
    <t>M3x16 普通内六角螺丝14</t>
  </si>
  <si>
    <t>M3x8 SHCS</t>
  </si>
  <si>
    <t>M3x8 普通内六角螺丝217</t>
  </si>
  <si>
    <t>M3 Hexnut</t>
  </si>
  <si>
    <t>M4 Knurled Nut (DIN 466-B)</t>
  </si>
  <si>
    <t>M4 滚花螺母 (DIN 466-B) 4</t>
  </si>
  <si>
    <t>M3 Hammer Head T-nuts</t>
  </si>
  <si>
    <t>M3 Hammer Head T型螺母s 47</t>
  </si>
  <si>
    <t>M4x6 BHCS</t>
  </si>
  <si>
    <t>M4x6 圆头内六角螺丝4</t>
  </si>
  <si>
    <t>M3x6 BHCS</t>
  </si>
  <si>
    <t>M3x6 圆头内六角螺丝6</t>
  </si>
  <si>
    <t>GT2 20T Pulley (5mm ID 6mm W)</t>
  </si>
  <si>
    <t>F695 Bearing</t>
  </si>
  <si>
    <t>GT2 20T Toothed Idler (5mm ID 9mm W)</t>
  </si>
  <si>
    <t>625 Bearing</t>
  </si>
  <si>
    <t>5x60mm Shaft</t>
  </si>
  <si>
    <t>GT2 16T Pulley (5mm ID 6mm W)</t>
  </si>
  <si>
    <t>GT2 20T Pulley (5mm ID 9mm W)</t>
  </si>
  <si>
    <t>GT2 Belt Loop (6mm W) - 188mm</t>
  </si>
  <si>
    <t>5x30mm Shaft</t>
  </si>
  <si>
    <t>GT2 Open Belt LL-2GT-9 (9mm wide) - 910mm</t>
  </si>
  <si>
    <t>BMG Extruder Componnets Kit</t>
  </si>
  <si>
    <t>Linear Rail MGN9H 300mm</t>
  </si>
  <si>
    <t>GT2 Open Belt LL-2GT-6 (6mm wide) - 1600mm</t>
  </si>
  <si>
    <t>NEMA17 Motor 17HS19-2004S</t>
  </si>
  <si>
    <t>SPDT KW10 Limit Micro Switch</t>
  </si>
  <si>
    <t>PL-08N Inductive Probe</t>
  </si>
  <si>
    <t>40x40x20 Centrifugal Fan (24V)</t>
  </si>
  <si>
    <t>40x40x10 Axial Fan (24V)</t>
  </si>
  <si>
    <t>Mini 12864 Display</t>
  </si>
  <si>
    <t>Inlet Power Socket IEC320 C14</t>
  </si>
  <si>
    <t>60x60x20 Fan (24V)</t>
  </si>
  <si>
    <t>TMC2209 Stepper Motor Driver</t>
  </si>
  <si>
    <t>USB Cable A-male B-male</t>
  </si>
  <si>
    <t>RaspberryPi 4</t>
  </si>
  <si>
    <t>Mean Well LRS-200-24 PSU</t>
  </si>
  <si>
    <t>Mean Well RS-25-5 PSU</t>
  </si>
  <si>
    <t>Omron G3A-210B-DC5 SSR</t>
  </si>
  <si>
    <t>DIN Rail Mount Bracket for G3A SSR</t>
  </si>
  <si>
    <t>BAT85 Diode</t>
  </si>
  <si>
    <t>C13 Power Cord</t>
  </si>
  <si>
    <t>Thermal Fuse (120C)</t>
  </si>
  <si>
    <t>NEMA17 Motor 17HS08-1004S</t>
  </si>
  <si>
    <t>Vibration Management</t>
  </si>
  <si>
    <t>Rubber Compressor Foot</t>
  </si>
  <si>
    <t>Misumi HFSB5-2020-240</t>
  </si>
  <si>
    <t>DIN 3 Rails (35mm W) - 370mm</t>
  </si>
  <si>
    <t>Misumi HFSB5-2020-330</t>
  </si>
  <si>
    <t>Misumi HFSB5-2020-350</t>
  </si>
  <si>
    <t>Misumi HFSB5-2020-370-TPW</t>
  </si>
  <si>
    <t>Misumi HFSB5-2020-430-LCP-RCP</t>
  </si>
  <si>
    <t>Fume Extractor Carbon Filter Element</t>
  </si>
  <si>
    <t>4mm Bowden Coupler</t>
  </si>
  <si>
    <t>Bowden Tube 100mm Piece (For Spool Holder)</t>
  </si>
  <si>
    <t>3M VHB Tape 5952</t>
  </si>
  <si>
    <t>Loctite Blue Threadlocker Stick</t>
  </si>
  <si>
    <t>Mobil EP2 Grease</t>
  </si>
  <si>
    <t>SuperLube PTFE Grease</t>
  </si>
  <si>
    <t>Tesa Wire Loom Harness Tape</t>
  </si>
  <si>
    <t>6x3mm Neodimium Magnet</t>
  </si>
  <si>
    <t>PTFE Tube (4mm OD 3mm ID) - 1m</t>
  </si>
  <si>
    <t>Nylon Cable Ties 4"</t>
  </si>
  <si>
    <t>20AWG Silicone Cable (10ft total)</t>
  </si>
  <si>
    <t>Spade Crimp Terminal 4.8mm Female</t>
  </si>
  <si>
    <t>JST XH Connector Plug 4 Position</t>
  </si>
  <si>
    <t>JST XH Connector Plug 2 Position</t>
  </si>
  <si>
    <t>MicroFit3 Connector Plug 4 Position</t>
  </si>
  <si>
    <t>MicroFit3 Connector Plug 3 Position</t>
  </si>
  <si>
    <t>MicroFit3 Connector Plug 2 Position</t>
  </si>
  <si>
    <t>MicroFit3 Connector Receptacle 4 Position</t>
  </si>
  <si>
    <t>MicroFit3 Connector Receptacle 3 Position</t>
  </si>
  <si>
    <t>MicroFit3 Connector Receptacle 2 Position</t>
  </si>
  <si>
    <t>JST XH Female Pin</t>
  </si>
  <si>
    <t>MicroFit3 Female Pin</t>
  </si>
  <si>
    <t>MicroFit3 Male Pin</t>
  </si>
  <si>
    <t>VORON XY ZipChain (printed a/b link pairs)</t>
  </si>
  <si>
    <t>VORON Z ZipChain (printed a/b link pairs)</t>
  </si>
  <si>
    <t>VORON XY ZipChain (printed ends)</t>
  </si>
  <si>
    <t>VORON Z ZipChain (printed ends)</t>
  </si>
  <si>
    <t>Buildplate</t>
  </si>
  <si>
    <t>3M 468MP Adhesive Sheet - 10"x10"</t>
  </si>
  <si>
    <t>PEI 0.04" Sheet - 10"x10"</t>
  </si>
  <si>
    <t>数量</t>
    <phoneticPr fontId="18" type="noConversion"/>
  </si>
  <si>
    <t>描述</t>
    <phoneticPr fontId="18" type="noConversion"/>
  </si>
  <si>
    <t>淘宝连接</t>
    <phoneticPr fontId="18" type="noConversion"/>
  </si>
  <si>
    <t>M5x40 普通内六角螺丝22</t>
    <phoneticPr fontId="18" type="noConversion"/>
  </si>
  <si>
    <t>M3 螺母</t>
    <phoneticPr fontId="18" type="noConversion"/>
  </si>
  <si>
    <t>M3 垫圈</t>
    <phoneticPr fontId="18" type="noConversion"/>
  </si>
  <si>
    <t>不用采购</t>
  </si>
  <si>
    <t>M5 1mm 垫片42</t>
    <phoneticPr fontId="18" type="noConversion"/>
  </si>
  <si>
    <t>备注</t>
    <phoneticPr fontId="18" type="noConversion"/>
  </si>
  <si>
    <t>紧固件</t>
    <phoneticPr fontId="18" type="noConversion"/>
  </si>
  <si>
    <t>大类</t>
    <phoneticPr fontId="18" type="noConversion"/>
  </si>
  <si>
    <t>物品</t>
    <phoneticPr fontId="18" type="noConversion"/>
  </si>
  <si>
    <t>https://detail.tmall.com/item.htm?spm=a230r.1.14.84.7fa53a5c7PRoY8&amp;id=526444785564&amp;ns=1&amp;abbucket=13&amp;skuId=4689711815827</t>
    <phoneticPr fontId="18" type="noConversion"/>
  </si>
  <si>
    <t>未采购</t>
  </si>
  <si>
    <t>单号</t>
    <phoneticPr fontId="18" type="noConversion"/>
  </si>
  <si>
    <t>已下单</t>
  </si>
  <si>
    <t>https://detail.tmall.com/item.htm?spm=a1z10.3-b-s.w4011-22833475141.122.7fd85544s4h7UW&amp;id=521303490209&amp;rn=5c082bd61135b51b45405a8ce1cfcee7&amp;abbucket=8&amp;skuId=3897124290266</t>
    <phoneticPr fontId="18" type="noConversion"/>
  </si>
  <si>
    <t>M5 T型螺母 HNTAJ5-5 61</t>
    <phoneticPr fontId="18" type="noConversion"/>
  </si>
  <si>
    <t>https://detail.tmall.com/item.htm?spm=a1z10.3-b-s.w4011-22833475141.92.51585544ZPJAyw&amp;id=542911953480&amp;rn=bde508c02d86f33def1bbed1ecd5dfae&amp;abbucket=8&amp;skuId=3428945938743</t>
    <phoneticPr fontId="18" type="noConversion"/>
  </si>
  <si>
    <t>杂项</t>
    <phoneticPr fontId="18" type="noConversion"/>
  </si>
  <si>
    <t>型材框架</t>
    <phoneticPr fontId="18" type="noConversion"/>
  </si>
  <si>
    <t>小计</t>
    <phoneticPr fontId="18" type="noConversion"/>
  </si>
  <si>
    <t>角码</t>
    <phoneticPr fontId="18" type="noConversion"/>
  </si>
  <si>
    <t>2020-240</t>
    <phoneticPr fontId="18" type="noConversion"/>
  </si>
  <si>
    <t>2020-330</t>
    <phoneticPr fontId="18" type="noConversion"/>
  </si>
  <si>
    <t>2020-350</t>
    <phoneticPr fontId="18" type="noConversion"/>
  </si>
  <si>
    <t>2020-370</t>
    <phoneticPr fontId="18" type="noConversion"/>
  </si>
  <si>
    <t>2020-430</t>
    <phoneticPr fontId="18" type="noConversion"/>
  </si>
  <si>
    <t>https://detail.tmall.com/item.htm?id=589891490152&amp;spm=a1z09.2.0.0.67002e8dhL2uUw&amp;_u=qc2trq92e2</t>
  </si>
  <si>
    <t>https://detail.tmall.com/item.htm?id=589891490152&amp;spm=a1z09.2.0.0.67002e8dhL2uUw&amp;_u=qc2trq92e3</t>
  </si>
  <si>
    <t>https://detail.tmall.com/item.htm?id=589891490152&amp;spm=a1z09.2.0.0.67002e8dhL2uUw&amp;_u=qc2trq92e4</t>
  </si>
  <si>
    <t>https://detail.tmall.com/item.htm?id=589891490152&amp;spm=a1z09.2.0.0.67002e8dhL2uUw&amp;_u=qc2trq92e5</t>
  </si>
  <si>
    <t>https://detail.tmall.com/item.htm?id=589891490152&amp;spm=a1z09.2.0.0.67002e8dhL2uUw&amp;_u=qc2trq92e6</t>
  </si>
  <si>
    <t>GT2 20T 滑轮 (5mm 内径 6mm W) 3</t>
  </si>
  <si>
    <t>F695 轴承20</t>
  </si>
  <si>
    <t>GT2 20T 同步带带轮（带齿） (5mm 内径 6mm W) 2</t>
  </si>
  <si>
    <t>GT2 20T 同步带带轮（带齿） (5mm 内径 9mm W) 4</t>
  </si>
  <si>
    <t>625 轴承12</t>
  </si>
  <si>
    <t>5x60mm 轴4</t>
  </si>
  <si>
    <t>GT2 16T 滑轮 (5mm 内径 6mm W) 4</t>
  </si>
  <si>
    <t>GT2 80T 滑轮 (5mm 内径 6mm W) 4</t>
  </si>
  <si>
    <t>GT2 20T 滑轮 (5mm 内径 9mm W) 4</t>
  </si>
  <si>
    <t>5x30mm 轴1</t>
  </si>
  <si>
    <t>GT2 皮带 LL-2GT-9 (9mm w内径e) - 1110mm 4</t>
  </si>
  <si>
    <t>BMG 挤出机套件1</t>
  </si>
  <si>
    <t>https://detail.tmall.com/item.htm?spm=a230r.1.14.1.2b362b6cpC3xeX&amp;id=543619238162&amp;ns=1&amp;abbucket=13&amp;skuId=4375645299333</t>
  </si>
  <si>
    <t>https://item.taobao.com/item.htm?spm=a1z09.2.0.0.4c972e8dosr2U8&amp;id=626739666987&amp;_u=qc2trq2ade</t>
  </si>
  <si>
    <t xml:space="preserve">线轨 MGN9H 400mm </t>
    <phoneticPr fontId="18" type="noConversion"/>
  </si>
  <si>
    <t>GT2 皮带环 (6mm W) - 188mm 4</t>
    <phoneticPr fontId="18" type="noConversion"/>
  </si>
  <si>
    <t>GT2 80T Pulley (5mm ID 6mm W)</t>
    <phoneticPr fontId="18" type="noConversion"/>
  </si>
  <si>
    <t>运动件</t>
    <phoneticPr fontId="18" type="noConversion"/>
  </si>
  <si>
    <t>https://item.taobao.com/item.htm?spm=a1z0d.7625083.1998302264.6.5c5f4e69Y43Eno&amp;id=590822265991</t>
  </si>
  <si>
    <t>https://item.taobao.com/item.htm?spm=a1z0d.7625083.1998302264.6.5c5f4e69aaZqoX&amp;id=566921623127</t>
  </si>
  <si>
    <t>https://item.taobao.com/item.htm?spm=a1z0d.7625083.1998302264.6.5c5f4e69qw19pC&amp;id=591441097993</t>
  </si>
  <si>
    <t>GT2 皮带 LL-2GT-6 (6mm w内径e) - 2000mm 2</t>
    <phoneticPr fontId="18" type="noConversion"/>
  </si>
  <si>
    <t>https://item.taobao.com/item.htm?spm=a1z0d.7625083.1998302264.6.5c5f4e69csUAUT&amp;id=573703705377</t>
  </si>
  <si>
    <t>https://item.taobao.com/item.htm?spm=a1z10.5-c-s.w4002-22254585059.11.32fa71c25OK8eg&amp;id=527745858306</t>
  </si>
  <si>
    <t>https://item.taobao.com/item.htm?spm=a1z0d.7625083.1998302264.6.5c5f4e697XhWca&amp;id=609903675812</t>
  </si>
  <si>
    <t>https://item.taobao.com/item.htm?spm=a1z0d.7625083.1998302264.6.5c5f4e69s3Wqbs&amp;id=607616053219</t>
  </si>
  <si>
    <t>GT2 20T Toothed Idler (5mm ID 6mm W)</t>
    <phoneticPr fontId="18" type="noConversion"/>
  </si>
  <si>
    <t>https://item.taobao.com/item.htm?spm=a1z10.5-c-s.w4002-22254585059.17.127171c2YtuZVC&amp;id=528334274858</t>
  </si>
  <si>
    <t>小计</t>
    <phoneticPr fontId="18" type="noConversion"/>
  </si>
  <si>
    <t>订单价格</t>
    <phoneticPr fontId="18" type="noConversion"/>
  </si>
  <si>
    <t>总价</t>
    <phoneticPr fontId="18" type="noConversion"/>
  </si>
  <si>
    <t>电子类</t>
    <phoneticPr fontId="18" type="noConversion"/>
  </si>
  <si>
    <t>Coroplast Sheet - 370x370x4 mm</t>
    <phoneticPr fontId="18" type="noConversion"/>
  </si>
  <si>
    <t>Coroplast Sheet - 384x404x4 mm</t>
    <phoneticPr fontId="18" type="noConversion"/>
  </si>
  <si>
    <t>Acrylic Sheet Clear - 192x404x2.5 mm</t>
    <phoneticPr fontId="18" type="noConversion"/>
  </si>
  <si>
    <t>Acrylic Sheet Clear - 384x404x2.5 mm</t>
    <phoneticPr fontId="18" type="noConversion"/>
  </si>
  <si>
    <t>Acrylic Sheet Clear - 384x384x2.5 mm</t>
    <phoneticPr fontId="18" type="noConversion"/>
  </si>
  <si>
    <t>AC加热床 - 200x200mm (300W) 1</t>
    <phoneticPr fontId="18" type="noConversion"/>
  </si>
  <si>
    <t>5/16" MIC6铝合金板 - 10"x10" 1</t>
    <phoneticPr fontId="18" type="noConversion"/>
  </si>
  <si>
    <t>0.04" PEI板 - 10"x10" 1</t>
    <phoneticPr fontId="18" type="noConversion"/>
  </si>
  <si>
    <t>3M 468MP 无基材双面胶 - 10"x10" 1</t>
    <phoneticPr fontId="18" type="noConversion"/>
  </si>
  <si>
    <t>SPDT KW10 微动限位开关3</t>
  </si>
  <si>
    <t>PL-08N 接近开关1</t>
  </si>
  <si>
    <t>40x40x20 离心风扇 (24V) 1</t>
  </si>
  <si>
    <t>40x40x10 轴流风扇 (24V) 1</t>
  </si>
  <si>
    <t>Mini 12864 显示屏1</t>
  </si>
  <si>
    <t>CAT6 输入接头 (可选) 1</t>
  </si>
  <si>
    <t>60x60x20 风扇 (24V) 3</t>
  </si>
  <si>
    <t>TMC2209 步进电机驱动板7</t>
  </si>
  <si>
    <t>USB Cable A-公 B-公2</t>
  </si>
  <si>
    <t>RaspberryPi 4 1</t>
  </si>
  <si>
    <t>RS-25-5 电源1</t>
  </si>
  <si>
    <t>欧姆龙 G3A-210B-DC5 固态继电器1</t>
  </si>
  <si>
    <t>G3A固态继电器安装支架1</t>
  </si>
  <si>
    <t>C13 电缆1</t>
  </si>
  <si>
    <t>保险丝 (120C) 1</t>
  </si>
  <si>
    <t>NEMA17 电机 17HS08-1004S 1</t>
  </si>
  <si>
    <t>塑料瓦楞板 -370x370x4mm</t>
    <phoneticPr fontId="18" type="noConversion"/>
  </si>
  <si>
    <t>塑料瓦楞板 - 384x404x4mm</t>
    <phoneticPr fontId="18" type="noConversion"/>
  </si>
  <si>
    <t>https://item.taobao.com/item.htm?spm=a1z0d.7625083.1998302264.6.5c5f4e69oFzstl&amp;id=533229845809</t>
  </si>
  <si>
    <t xml:space="preserve">透明亚克力板 -192x404x2.5 mm </t>
    <phoneticPr fontId="18" type="noConversion"/>
  </si>
  <si>
    <t xml:space="preserve">透明亚克力板 - 384x404x2.5 mm </t>
    <phoneticPr fontId="18" type="noConversion"/>
  </si>
  <si>
    <t xml:space="preserve">透明亚克力板 - 384x384x2.5 mm </t>
    <phoneticPr fontId="18" type="noConversion"/>
  </si>
  <si>
    <t>https://detail.tmall.com/item.htm?id=45653259177&amp;tracelogww=ltckbburl</t>
  </si>
  <si>
    <t>https://item.taobao.com/item.htm?spm=a1z0d.7625083.1998302264.6.5c5f4e69oFzstl&amp;id=533229845809</t>
    <phoneticPr fontId="18" type="noConversion"/>
  </si>
  <si>
    <t>外面板</t>
    <phoneticPr fontId="18" type="noConversion"/>
  </si>
  <si>
    <t>线材</t>
    <phoneticPr fontId="18" type="noConversion"/>
  </si>
  <si>
    <t>NEMA17 步进电机 17HS19-2004S 6</t>
    <phoneticPr fontId="18" type="noConversion"/>
  </si>
  <si>
    <t>https://item.taobao.com/item.htm?spm=a1z10.5-c-s.w4002-21829575240.10.6cbe1280QFwzL9&amp;id=628046381148</t>
  </si>
  <si>
    <t>小计</t>
    <phoneticPr fontId="18" type="noConversion"/>
  </si>
  <si>
    <t>Keystone CAT6 Insert (Optional)</t>
    <phoneticPr fontId="18" type="noConversion"/>
  </si>
  <si>
    <t>LRS-200-24 电源1</t>
    <phoneticPr fontId="18" type="noConversion"/>
  </si>
  <si>
    <t>https://item.taobao.com/item.htm?spm=a230r.1.14.1.38b072ecxnDffA&amp;id=595783963500&amp;ns=1&amp;abbucket=13#detail</t>
  </si>
  <si>
    <t>https://item.taobao.com/item.htm?spm=a1z0d.7625083.1998302264.6.5c5f4e69cEQXPM&amp;id=35199228116</t>
  </si>
  <si>
    <t>输入电源座 IEC320 C14 1</t>
    <phoneticPr fontId="18" type="noConversion"/>
  </si>
  <si>
    <t>https://item.taobao.com/item.htm?spm=a1z0d.7625083.1998302264.6.5c5f4e699PPOV6&amp;id=561361622414</t>
  </si>
  <si>
    <t>BAT85 二极管1</t>
    <phoneticPr fontId="18" type="noConversion"/>
  </si>
  <si>
    <t>https://detail.tmall.com/item.htm?spm=a230r.1.14.1.3ad555a6knrXly&amp;id=548985853308&amp;ns=1&amp;abbucket=13&amp;skuId=4383058248855</t>
  </si>
  <si>
    <t>https://item.taobao.com/item.htm?spm=a230r.1.14.1.4f3029b8uOPnX8&amp;id=626654032601&amp;ns=1&amp;abbucket=13#detail</t>
  </si>
  <si>
    <t>https://item.taobao.com/item.htm?spm=a1z10.3-c.w4002-21921534145.28.15f21714Aq6Nkg&amp;id=600384522992</t>
  </si>
  <si>
    <t>https://item.taobao.com/item.htm?spm=a1z10.3-c.w4002-21921534145.22.15f21714Aq6Nkg&amp;id=626184133606</t>
    <phoneticPr fontId="18" type="noConversion"/>
  </si>
  <si>
    <t>https://item.taobao.com/item.htm?spm=a1z0d.7625083.1998302264.6.5c5f4e69BOtJbt&amp;id=600469054707</t>
  </si>
  <si>
    <t>https://detail.tmall.com/item.htm?spm=a230r.1.14.1.5b6e5588dcOjHz&amp;id=637355104450&amp;ns=1&amp;abbucket=13&amp;skuId=4745360878403</t>
  </si>
  <si>
    <t>https://item.taobao.com/item.htm?spm=a230r.1.14.7.3045760dm1Nzmo&amp;id=631993516074&amp;ns=1&amp;abbucket=13#detail</t>
  </si>
  <si>
    <t>https://item.taobao.com/item.htm?spm=a1z10.3-c.w4002-17869221479.15.6175b631FWRHP1&amp;id=625671241167</t>
  </si>
  <si>
    <t>https://item.taobao.com/item.htm?spm=a1z09.2.0.0.62852e8d240ots&amp;id=616606914217&amp;_u=rc2trq169f</t>
  </si>
  <si>
    <t>https://detail.tmall.com/item.htm?id=623807292869&amp;spm=a1z09.2.0.0.77ea2e8dmn6Zto&amp;_u=rc2trqedb7</t>
  </si>
  <si>
    <t>E3D V6 Bowden Hotend Kit (24V)</t>
    <phoneticPr fontId="18" type="noConversion"/>
  </si>
  <si>
    <t>E3D V6 Bowden Hotend Kit (24V) 1</t>
    <phoneticPr fontId="18" type="noConversion"/>
  </si>
  <si>
    <t>https://item.taobao.com/item.htm?spm=a1z09.2.0.0.704b2e8dnKYMa2&amp;id=559769172879&amp;_u=rc2trqb2a0</t>
  </si>
  <si>
    <t>https://item.taobao.com/item.htm?spm=a1z09.2.0.0.2a792e8dA0FAu3&amp;id=597048000256&amp;_u=rc2trqd2a7</t>
  </si>
  <si>
    <t>活性炭滤芯1</t>
  </si>
  <si>
    <t>4mm 快插气动接头1</t>
  </si>
  <si>
    <t>特氟龙管 100mm (料架用) 2</t>
  </si>
  <si>
    <t>3M VHB 胶带 5952 1</t>
  </si>
  <si>
    <t>螺丝胶1</t>
  </si>
  <si>
    <t>EP2 润滑脂1</t>
  </si>
  <si>
    <t>PTFE 润滑脂1</t>
  </si>
  <si>
    <t>耐热电工胶带1</t>
  </si>
  <si>
    <t>6x3mm 汝磁磁铁8</t>
  </si>
  <si>
    <t>铁氟龙管</t>
    <phoneticPr fontId="18" type="noConversion"/>
  </si>
  <si>
    <t>https://detail.tmall.com/item.htm?id=620576825408&amp;spm=a1z09.2.0.0.20ee2e8dWNS7bw&amp;_u=rc2trqe2f6</t>
  </si>
  <si>
    <t>https://detail.tmall.com/item.htm?id=611309468987&amp;spm=a1z09.2.0.0.242b2e8dDwAsBM&amp;_u=rc2trqf8a6</t>
  </si>
  <si>
    <t>https://item.taobao.com/item.htm?spm=a230r.1.14.1.48d33c2dZ3cQPN&amp;id=573235803291&amp;ns=1&amp;abbucket=13#detail</t>
  </si>
  <si>
    <t>https://detail.tmall.com/item.htm?spm=a230r.1.14.1.278da2b6b3ONfG&amp;id=36505275892&amp;ns=1&amp;abbucket=13&amp;skuId=3562805002211</t>
  </si>
  <si>
    <t>https://item.taobao.com/item.htm?spm=a210c.1.0.0.79791debjgaApp&amp;id=522032448600</t>
  </si>
  <si>
    <t>设备 安装板</t>
    <phoneticPr fontId="18" type="noConversion"/>
  </si>
  <si>
    <t>扎带 4" 40</t>
  </si>
  <si>
    <t>20AWG 硅胶线 (10ft total=3.1m) 1</t>
  </si>
  <si>
    <t>24AWG 硅胶线 (250ft total=77m) 1</t>
  </si>
  <si>
    <t>冷压端子 4.8mm 母头7</t>
  </si>
  <si>
    <t>JST XH 4针插头7</t>
  </si>
  <si>
    <t>JST XH 2针插头6</t>
  </si>
  <si>
    <t>molex 4针连接器4</t>
  </si>
  <si>
    <t>molex 3针连接器1</t>
  </si>
  <si>
    <t>molex 2针连接器2</t>
  </si>
  <si>
    <t>molex 4针插座4</t>
  </si>
  <si>
    <t>molex 3针插座1</t>
  </si>
  <si>
    <t>molex 2针插座2</t>
  </si>
  <si>
    <t>JST XH 母头40</t>
  </si>
  <si>
    <t>molex MicroFit3 母头40</t>
  </si>
  <si>
    <t>molex MicroFit3 公头40</t>
  </si>
  <si>
    <t>10x10 拖链 (405mm) 2</t>
  </si>
  <si>
    <t>10x15 拖链 (545mm) 1</t>
  </si>
  <si>
    <t>24AWG Silicone Cable (250ft total)</t>
    <phoneticPr fontId="18" type="noConversion"/>
  </si>
  <si>
    <t>https://detail.tmall.com/item.htm?spm=a230r.1.14.1.1c675430MOJKxs&amp;id=601167338741&amp;ns=1&amp;abbucket=13&amp;skuId=4371828122108</t>
  </si>
  <si>
    <t>https://detail.tmall.com/item.htm?spm=a230r.1.14.9.4d872ab6o70dx5&amp;id=548394502988&amp;ns=1&amp;abbucket=13&amp;skuId=3327483737121</t>
  </si>
  <si>
    <t>https://detail.tmall.com/item.htm?spm=a230r.1.14.6.38df5d5aqc7ruY&amp;id=551195211656&amp;cm_id=140105335569ed55e27b&amp;abbucket=13&amp;skuId=3423125168152</t>
  </si>
  <si>
    <t>https://detail.tmall.com/item.htm?spm=a230r.1.14.1.358375afyXMZyX&amp;id=610339377518&amp;ns=1&amp;abbucket=13&amp;skuId=4291527132748</t>
  </si>
  <si>
    <t>https://detail.tmall.com/item.htm?spm=a230r.1.14.6.38df5d5aqc7ruY&amp;id=551195211656&amp;cm_id=140105335569ed55e27b&amp;abbucket=13&amp;skuId=3423125168152</t>
    <phoneticPr fontId="18" type="noConversion"/>
  </si>
  <si>
    <t>https://detail.tmall.com/item.htm?spm=a1z10.3-b.w4011-22056116345.34.58d96dcbvloch3&amp;id=608456381688&amp;rn=9afc4e4bde5fde640c6c86a9d3878af7&amp;abbucket=8</t>
  </si>
  <si>
    <t>https://item.taobao.com/item.htm?spm=a230r.1.14.1.1f791860KJIAY0&amp;id=641310406256&amp;ns=1&amp;abbucket=13#detail</t>
  </si>
  <si>
    <t>Keenovo Silicone AC Heater w/ thermistor - 200x200mm (300W)</t>
    <phoneticPr fontId="18" type="noConversion"/>
  </si>
  <si>
    <t>合计</t>
    <phoneticPr fontId="18" type="noConversion"/>
  </si>
  <si>
    <t>MIC6 5/16" Plate - 10"x10"</t>
    <phoneticPr fontId="18" type="noConversion"/>
  </si>
  <si>
    <t>https://item.taobao.com/item.htm?spm=a1z09.2.0.0.4da02e8dQx73aA&amp;id=632527218556&amp;_u=rc2trq03a6</t>
  </si>
  <si>
    <t>https://item.taobao.com/item.htm?spm=a210c.1.0.0.52681debmuVBVf&amp;id=614474644547</t>
  </si>
  <si>
    <t>petg打印耗材</t>
    <phoneticPr fontId="18" type="noConversion"/>
  </si>
  <si>
    <t>OpenBuilds Angle Corner Connector</t>
    <phoneticPr fontId="18" type="noConversion"/>
  </si>
  <si>
    <t>25cm镜子</t>
    <phoneticPr fontId="18" type="noConversion"/>
  </si>
  <si>
    <t>tf卡两张</t>
    <phoneticPr fontId="18" type="noConversion"/>
  </si>
  <si>
    <t>砂轮片</t>
    <phoneticPr fontId="18" type="noConversion"/>
  </si>
  <si>
    <t>SKR PRO</t>
    <phoneticPr fontId="18" type="noConversion"/>
  </si>
  <si>
    <t>M3 螺纹嵌入件90</t>
    <phoneticPr fontId="18" type="noConversion"/>
  </si>
  <si>
    <t>https://item.taobao.com/item.htm?spm=a230r.1.14.75.37d110d4f0G6QE&amp;id=607627034377&amp;ns=1&amp;abbucket=13#detail</t>
    <phoneticPr fontId="18" type="noConversion"/>
  </si>
  <si>
    <t>https://item.taobao.com/item.htm?spm=a1z10.5-c-s.w4002-22254585059.17.127171c2YtuZVC&amp;id=528334274858</t>
    <phoneticPr fontId="18" type="noConversion"/>
  </si>
  <si>
    <t>https://item.taobao.com/item.htm?spm=a1z0d.7625083.1998302264.6.5c5f4e69wsMXqA&amp;id=631306709484</t>
    <phoneticPr fontId="18" type="noConversion"/>
  </si>
  <si>
    <t>https://item.taobao.com/item.htm?spm=a1z10.3-c.w4002-1583111922.9.6d8226b5Yd6MUG&amp;id=22821888002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</si>
</sst>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¥&quot;* #,##0.00_ ;_ &quot;¥&quot;* \-#,##0.00_ ;_ &quot;¥&quot;* &quot;-&quot;??_ ;_ @_ "/>
  </numFmts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9"/>
      <color rgb="FF3C3C3C"/>
      <name val="Tahoma"/>
      <family val="2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44" fontId="0" fillId="0" borderId="0" xfId="0" applyNumberFormat="1">
      <alignment vertical="center"/>
    </xf>
    <xf numFmtId="0" fontId="21" fillId="0" borderId="10" xfId="0" applyFont="1" applyBorder="1">
      <alignment vertical="center"/>
    </xf>
    <xf numFmtId="0" fontId="21" fillId="0" borderId="11" xfId="0" applyFont="1" applyBorder="1">
      <alignment vertical="center"/>
    </xf>
    <xf numFmtId="44" fontId="21" fillId="0" borderId="11" xfId="0" applyNumberFormat="1" applyFont="1" applyBorder="1">
      <alignment vertical="center"/>
    </xf>
    <xf numFmtId="0" fontId="21" fillId="0" borderId="12" xfId="0" applyFont="1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49" fontId="19" fillId="0" borderId="14" xfId="42" applyNumberFormat="1" applyBorder="1" applyAlignment="1">
      <alignment vertical="center" shrinkToFit="1" readingOrder="1"/>
    </xf>
    <xf numFmtId="49" fontId="20" fillId="0" borderId="14" xfId="0" applyNumberFormat="1" applyFont="1" applyBorder="1">
      <alignment vertical="center"/>
    </xf>
    <xf numFmtId="44" fontId="0" fillId="0" borderId="14" xfId="0" applyNumberFormat="1" applyBorder="1">
      <alignment vertical="center"/>
    </xf>
    <xf numFmtId="44" fontId="21" fillId="0" borderId="15" xfId="0" applyNumberFormat="1" applyFont="1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49" fontId="19" fillId="0" borderId="17" xfId="42" applyNumberFormat="1" applyBorder="1" applyAlignment="1">
      <alignment vertical="center" shrinkToFit="1" readingOrder="1"/>
    </xf>
    <xf numFmtId="44" fontId="0" fillId="0" borderId="17" xfId="0" applyNumberFormat="1" applyBorder="1">
      <alignment vertical="center"/>
    </xf>
    <xf numFmtId="0" fontId="14" fillId="0" borderId="14" xfId="0" applyFont="1" applyBorder="1">
      <alignment vertical="center"/>
    </xf>
    <xf numFmtId="0" fontId="0" fillId="0" borderId="14" xfId="0" applyBorder="1" applyAlignment="1">
      <alignment vertical="center" wrapText="1"/>
    </xf>
    <xf numFmtId="0" fontId="21" fillId="0" borderId="15" xfId="0" applyFont="1" applyBorder="1">
      <alignment vertical="center"/>
    </xf>
    <xf numFmtId="0" fontId="21" fillId="0" borderId="0" xfId="0" applyFont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49" fontId="19" fillId="0" borderId="20" xfId="42" applyNumberFormat="1" applyBorder="1" applyAlignment="1">
      <alignment vertical="center" shrinkToFit="1" readingOrder="1"/>
    </xf>
    <xf numFmtId="44" fontId="0" fillId="0" borderId="20" xfId="0" applyNumberFormat="1" applyBorder="1">
      <alignment vertical="center"/>
    </xf>
    <xf numFmtId="0" fontId="21" fillId="0" borderId="21" xfId="0" applyFont="1" applyBorder="1">
      <alignment vertical="center"/>
    </xf>
    <xf numFmtId="44" fontId="21" fillId="0" borderId="22" xfId="0" applyNumberFormat="1" applyFont="1" applyBorder="1">
      <alignment vertical="center"/>
    </xf>
    <xf numFmtId="44" fontId="21" fillId="0" borderId="23" xfId="0" applyNumberFormat="1" applyFont="1" applyBorder="1">
      <alignment vertical="center"/>
    </xf>
    <xf numFmtId="44" fontId="21" fillId="0" borderId="0" xfId="0" applyNumberFormat="1" applyFont="1">
      <alignment vertical="center"/>
    </xf>
    <xf numFmtId="44" fontId="21" fillId="0" borderId="24" xfId="0" applyNumberFormat="1" applyFont="1" applyBorder="1">
      <alignment vertical="center"/>
    </xf>
    <xf numFmtId="44" fontId="21" fillId="0" borderId="25" xfId="0" applyNumberFormat="1" applyFont="1" applyBorder="1">
      <alignment vertical="center"/>
    </xf>
    <xf numFmtId="44" fontId="21" fillId="0" borderId="18" xfId="0" applyNumberFormat="1" applyFont="1" applyBorder="1">
      <alignment vertical="center"/>
    </xf>
    <xf numFmtId="0" fontId="0" fillId="0" borderId="14" xfId="0" applyFill="1" applyBorder="1">
      <alignment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超链接" xfId="42" builtinId="8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20"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spm=a230r.1.14.75.37d110d4f0G6QE&amp;id=607627034377&amp;ns=1&amp;abbucket=13" TargetMode="External"/><Relationship Id="rId3" Type="http://schemas.openxmlformats.org/officeDocument/2006/relationships/hyperlink" Target="https://detail.tmall.com/item.htm?spm=a1z10.3-b-s.w4011-22833475141.92.51585544ZPJAyw&amp;id=542911953480&amp;rn=bde508c02d86f33def1bbed1ecd5dfae&amp;abbucket=8&amp;skuId=3428945938743" TargetMode="External"/><Relationship Id="rId7" Type="http://schemas.openxmlformats.org/officeDocument/2006/relationships/hyperlink" Target="https://detail.tmall.com/item.htm?spm=a230r.1.14.6.38df5d5aqc7ruY&amp;id=551195211656&amp;cm_id=140105335569ed55e27b&amp;abbucket=13&amp;skuId=3423125168152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detail.tmall.com/item.htm?spm=a230r.1.14.84.7fa53a5c7PRoY8&amp;id=526444785564&amp;ns=1&amp;abbucket=13&amp;skuId=4689711815827" TargetMode="External"/><Relationship Id="rId1" Type="http://schemas.openxmlformats.org/officeDocument/2006/relationships/hyperlink" Target="https://detail.tmall.com/item.htm?spm=a230r.1.14.84.7fa53a5c7PRoY8&amp;id=526444785564&amp;ns=1&amp;abbucket=13&amp;skuId=4689711815827" TargetMode="External"/><Relationship Id="rId6" Type="http://schemas.openxmlformats.org/officeDocument/2006/relationships/hyperlink" Target="https://item.taobao.com/item.htm?spm=a1z10.3-c.w4002-21921534145.22.15f21714Aq6Nkg&amp;id=626184133606" TargetMode="External"/><Relationship Id="rId11" Type="http://schemas.openxmlformats.org/officeDocument/2006/relationships/hyperlink" Target="https://item.taobao.com/item.htm?spm=a1z10.3-c.w4002-1583111922.9.6d8226b5Yd6MUG&amp;id=22821888002" TargetMode="External"/><Relationship Id="rId5" Type="http://schemas.openxmlformats.org/officeDocument/2006/relationships/hyperlink" Target="https://item.taobao.com/item.htm?spm=a1z0d.7625083.1998302264.6.5c5f4e69oFzstl&amp;id=533229845809" TargetMode="External"/><Relationship Id="rId10" Type="http://schemas.openxmlformats.org/officeDocument/2006/relationships/hyperlink" Target="https://item.taobao.com/item.htm?spm=a1z0d.7625083.1998302264.6.5c5f4e69wsMXqA&amp;id=631306709484" TargetMode="External"/><Relationship Id="rId4" Type="http://schemas.openxmlformats.org/officeDocument/2006/relationships/hyperlink" Target="https://detail.tmall.com/item.htm?spm=a1z10.3-b-s.w4011-22833475141.92.51585544ZPJAyw&amp;id=542911953480&amp;rn=bde508c02d86f33def1bbed1ecd5dfae&amp;abbucket=8&amp;skuId=3428945938743" TargetMode="External"/><Relationship Id="rId9" Type="http://schemas.openxmlformats.org/officeDocument/2006/relationships/hyperlink" Target="https://item.taobao.com/item.htm?spm=a1z10.5-c-s.w4002-22254585059.17.127171c2YtuZVC&amp;id=5283342748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0"/>
  <sheetViews>
    <sheetView tabSelected="1" topLeftCell="A16" workbookViewId="0">
      <selection activeCell="C35" sqref="C35"/>
    </sheetView>
  </sheetViews>
  <sheetFormatPr defaultRowHeight="14.25" x14ac:dyDescent="0.2"/>
  <cols>
    <col min="1" max="1" width="10" customWidth="1"/>
    <col min="2" max="2" width="32.5" customWidth="1"/>
    <col min="3" max="3" width="39.375" customWidth="1"/>
    <col min="4" max="4" width="7.375" customWidth="1"/>
    <col min="5" max="5" width="10.75" customWidth="1"/>
    <col min="6" max="6" width="133" customWidth="1"/>
    <col min="7" max="7" width="18.125" customWidth="1"/>
    <col min="8" max="8" width="13.5" customWidth="1"/>
    <col min="9" max="9" width="10.25" style="1" bestFit="1" customWidth="1"/>
    <col min="10" max="10" width="10.25" style="27" customWidth="1"/>
    <col min="11" max="11" width="11.625" style="19" customWidth="1"/>
  </cols>
  <sheetData>
    <row r="1" spans="1:11" x14ac:dyDescent="0.2">
      <c r="A1" s="2" t="s">
        <v>119</v>
      </c>
      <c r="B1" s="3" t="s">
        <v>120</v>
      </c>
      <c r="C1" s="3" t="s">
        <v>110</v>
      </c>
      <c r="D1" s="3" t="s">
        <v>109</v>
      </c>
      <c r="E1" s="3" t="s">
        <v>117</v>
      </c>
      <c r="F1" s="3" t="s">
        <v>111</v>
      </c>
      <c r="G1" s="3" t="s">
        <v>123</v>
      </c>
      <c r="H1" s="3"/>
      <c r="I1" s="4" t="s">
        <v>171</v>
      </c>
      <c r="J1" s="25" t="s">
        <v>211</v>
      </c>
      <c r="K1" s="5" t="s">
        <v>172</v>
      </c>
    </row>
    <row r="2" spans="1:11" x14ac:dyDescent="0.2">
      <c r="A2" s="6" t="s">
        <v>118</v>
      </c>
      <c r="B2" s="7" t="s">
        <v>5</v>
      </c>
      <c r="C2" s="7" t="s">
        <v>6</v>
      </c>
      <c r="D2" s="7">
        <v>20</v>
      </c>
      <c r="E2" s="7" t="s">
        <v>124</v>
      </c>
      <c r="F2" s="8" t="s">
        <v>121</v>
      </c>
      <c r="G2" s="9"/>
      <c r="H2" s="7"/>
      <c r="I2" s="10"/>
      <c r="J2" s="26"/>
      <c r="K2" s="18"/>
    </row>
    <row r="3" spans="1:11" x14ac:dyDescent="0.2">
      <c r="A3" s="6"/>
      <c r="B3" s="7" t="s">
        <v>7</v>
      </c>
      <c r="C3" s="7" t="s">
        <v>8</v>
      </c>
      <c r="D3" s="7">
        <v>15</v>
      </c>
      <c r="E3" s="7" t="s">
        <v>124</v>
      </c>
      <c r="F3" s="8" t="s">
        <v>121</v>
      </c>
      <c r="G3" s="9"/>
      <c r="H3" s="7"/>
      <c r="I3" s="10"/>
      <c r="J3" s="26"/>
      <c r="K3" s="18"/>
    </row>
    <row r="4" spans="1:11" x14ac:dyDescent="0.2">
      <c r="A4" s="6"/>
      <c r="B4" s="7" t="s">
        <v>1</v>
      </c>
      <c r="C4" s="7" t="s">
        <v>2</v>
      </c>
      <c r="D4" s="7">
        <v>11</v>
      </c>
      <c r="E4" s="7" t="s">
        <v>124</v>
      </c>
      <c r="F4" s="8" t="s">
        <v>121</v>
      </c>
      <c r="G4" s="9"/>
      <c r="H4" s="7"/>
      <c r="I4" s="10"/>
      <c r="J4" s="26"/>
      <c r="K4" s="18"/>
    </row>
    <row r="5" spans="1:11" x14ac:dyDescent="0.2">
      <c r="A5" s="6"/>
      <c r="B5" s="7" t="s">
        <v>0</v>
      </c>
      <c r="C5" s="7" t="s">
        <v>112</v>
      </c>
      <c r="D5" s="7">
        <v>11</v>
      </c>
      <c r="E5" s="7" t="s">
        <v>124</v>
      </c>
      <c r="F5" s="8" t="s">
        <v>125</v>
      </c>
      <c r="G5" s="9"/>
      <c r="H5" s="7"/>
      <c r="I5" s="10"/>
      <c r="J5" s="26"/>
      <c r="K5" s="18"/>
    </row>
    <row r="6" spans="1:11" x14ac:dyDescent="0.2">
      <c r="A6" s="6"/>
      <c r="B6" s="7" t="s">
        <v>9</v>
      </c>
      <c r="C6" s="7" t="s">
        <v>10</v>
      </c>
      <c r="D6" s="7">
        <v>13</v>
      </c>
      <c r="E6" s="7" t="s">
        <v>124</v>
      </c>
      <c r="F6" s="8"/>
      <c r="G6" s="9"/>
      <c r="H6" s="7"/>
      <c r="I6" s="10"/>
      <c r="J6" s="26"/>
      <c r="K6" s="18"/>
    </row>
    <row r="7" spans="1:11" x14ac:dyDescent="0.2">
      <c r="A7" s="6"/>
      <c r="B7" s="7" t="s">
        <v>11</v>
      </c>
      <c r="C7" s="7" t="s">
        <v>126</v>
      </c>
      <c r="D7" s="7">
        <v>40</v>
      </c>
      <c r="E7" s="7" t="s">
        <v>124</v>
      </c>
      <c r="F7" s="8" t="s">
        <v>127</v>
      </c>
      <c r="G7" s="9"/>
      <c r="H7" s="7"/>
      <c r="I7" s="10"/>
      <c r="J7" s="26"/>
      <c r="K7" s="18"/>
    </row>
    <row r="8" spans="1:11" x14ac:dyDescent="0.2">
      <c r="A8" s="6"/>
      <c r="B8" s="7" t="s">
        <v>17</v>
      </c>
      <c r="C8" s="7" t="s">
        <v>116</v>
      </c>
      <c r="D8" s="7">
        <v>21</v>
      </c>
      <c r="E8" s="7" t="s">
        <v>124</v>
      </c>
      <c r="F8" s="8"/>
      <c r="G8" s="9"/>
      <c r="H8" s="7"/>
      <c r="I8" s="10"/>
      <c r="J8" s="26"/>
      <c r="K8" s="18"/>
    </row>
    <row r="9" spans="1:11" x14ac:dyDescent="0.2">
      <c r="A9" s="6"/>
      <c r="B9" s="7" t="s">
        <v>34</v>
      </c>
      <c r="C9" s="7" t="s">
        <v>35</v>
      </c>
      <c r="D9" s="7">
        <v>2</v>
      </c>
      <c r="E9" s="7" t="s">
        <v>124</v>
      </c>
      <c r="F9" s="8"/>
      <c r="G9" s="9"/>
      <c r="H9" s="7"/>
      <c r="I9" s="10"/>
      <c r="J9" s="26"/>
      <c r="K9" s="18"/>
    </row>
    <row r="10" spans="1:11" x14ac:dyDescent="0.2">
      <c r="A10" s="6"/>
      <c r="B10" s="7" t="s">
        <v>30</v>
      </c>
      <c r="C10" s="7" t="s">
        <v>31</v>
      </c>
      <c r="D10" s="7">
        <v>2</v>
      </c>
      <c r="E10" s="7" t="s">
        <v>124</v>
      </c>
      <c r="F10" s="8"/>
      <c r="G10" s="9"/>
      <c r="H10" s="7"/>
      <c r="I10" s="10"/>
      <c r="J10" s="26"/>
      <c r="K10" s="18"/>
    </row>
    <row r="11" spans="1:11" x14ac:dyDescent="0.2">
      <c r="A11" s="6"/>
      <c r="B11" s="7" t="s">
        <v>36</v>
      </c>
      <c r="C11" s="7" t="s">
        <v>37</v>
      </c>
      <c r="D11" s="7">
        <v>3</v>
      </c>
      <c r="E11" s="7" t="s">
        <v>124</v>
      </c>
      <c r="F11" s="8"/>
      <c r="G11" s="9"/>
      <c r="H11" s="7"/>
      <c r="I11" s="10"/>
      <c r="J11" s="26"/>
      <c r="K11" s="18"/>
    </row>
    <row r="12" spans="1:11" x14ac:dyDescent="0.2">
      <c r="A12" s="6"/>
      <c r="B12" s="7" t="s">
        <v>27</v>
      </c>
      <c r="C12" s="7" t="s">
        <v>28</v>
      </c>
      <c r="D12" s="7">
        <v>100</v>
      </c>
      <c r="E12" s="7" t="s">
        <v>124</v>
      </c>
      <c r="F12" s="8"/>
      <c r="G12" s="9"/>
      <c r="H12" s="7"/>
      <c r="I12" s="10"/>
      <c r="J12" s="26"/>
      <c r="K12" s="18"/>
    </row>
    <row r="13" spans="1:11" x14ac:dyDescent="0.2">
      <c r="A13" s="6"/>
      <c r="B13" s="7" t="s">
        <v>15</v>
      </c>
      <c r="C13" s="7" t="s">
        <v>16</v>
      </c>
      <c r="D13" s="7">
        <v>12</v>
      </c>
      <c r="E13" s="7" t="s">
        <v>124</v>
      </c>
      <c r="F13" s="8"/>
      <c r="G13" s="9"/>
      <c r="H13" s="7"/>
      <c r="I13" s="10"/>
      <c r="J13" s="26"/>
      <c r="K13" s="18"/>
    </row>
    <row r="14" spans="1:11" x14ac:dyDescent="0.2">
      <c r="A14" s="6"/>
      <c r="B14" s="7" t="s">
        <v>25</v>
      </c>
      <c r="C14" s="7" t="s">
        <v>26</v>
      </c>
      <c r="D14" s="7">
        <v>7</v>
      </c>
      <c r="E14" s="7" t="s">
        <v>124</v>
      </c>
      <c r="F14" s="8"/>
      <c r="G14" s="9"/>
      <c r="H14" s="7"/>
      <c r="I14" s="10"/>
      <c r="J14" s="26"/>
      <c r="K14" s="18"/>
    </row>
    <row r="15" spans="1:11" x14ac:dyDescent="0.2">
      <c r="A15" s="6"/>
      <c r="B15" s="7" t="s">
        <v>23</v>
      </c>
      <c r="C15" s="7" t="s">
        <v>24</v>
      </c>
      <c r="D15" s="7">
        <v>15</v>
      </c>
      <c r="E15" s="7" t="s">
        <v>124</v>
      </c>
      <c r="F15" s="8"/>
      <c r="G15" s="9"/>
      <c r="H15" s="7"/>
      <c r="I15" s="10"/>
      <c r="J15" s="26"/>
      <c r="K15" s="18"/>
    </row>
    <row r="16" spans="1:11" x14ac:dyDescent="0.2">
      <c r="A16" s="6"/>
      <c r="B16" s="7" t="s">
        <v>3</v>
      </c>
      <c r="C16" s="7" t="s">
        <v>4</v>
      </c>
      <c r="D16" s="7">
        <v>13</v>
      </c>
      <c r="E16" s="7" t="s">
        <v>124</v>
      </c>
      <c r="F16" s="8"/>
      <c r="G16" s="9"/>
      <c r="H16" s="7"/>
      <c r="I16" s="10"/>
      <c r="J16" s="26"/>
      <c r="K16" s="18"/>
    </row>
    <row r="17" spans="1:11" x14ac:dyDescent="0.2">
      <c r="A17" s="6"/>
      <c r="B17" s="7" t="s">
        <v>20</v>
      </c>
      <c r="C17" s="7" t="s">
        <v>21</v>
      </c>
      <c r="D17" s="7">
        <v>14</v>
      </c>
      <c r="E17" s="7" t="s">
        <v>124</v>
      </c>
      <c r="F17" s="8"/>
      <c r="G17" s="9"/>
      <c r="H17" s="7"/>
      <c r="I17" s="10"/>
      <c r="J17" s="26"/>
      <c r="K17" s="18"/>
    </row>
    <row r="18" spans="1:11" x14ac:dyDescent="0.2">
      <c r="A18" s="6"/>
      <c r="B18" s="7" t="s">
        <v>29</v>
      </c>
      <c r="C18" s="7" t="s">
        <v>113</v>
      </c>
      <c r="D18" s="7">
        <v>6</v>
      </c>
      <c r="E18" s="7" t="s">
        <v>115</v>
      </c>
      <c r="F18" s="8"/>
      <c r="G18" s="9"/>
      <c r="H18" s="7"/>
      <c r="I18" s="10"/>
      <c r="J18" s="26"/>
      <c r="K18" s="18"/>
    </row>
    <row r="19" spans="1:11" x14ac:dyDescent="0.2">
      <c r="A19" s="6"/>
      <c r="B19" s="7" t="s">
        <v>22</v>
      </c>
      <c r="C19" s="7" t="s">
        <v>114</v>
      </c>
      <c r="D19" s="7">
        <v>1</v>
      </c>
      <c r="E19" s="7" t="s">
        <v>115</v>
      </c>
      <c r="F19" s="8"/>
      <c r="G19" s="9"/>
      <c r="H19" s="7"/>
      <c r="I19" s="10"/>
      <c r="J19" s="26"/>
      <c r="K19" s="18"/>
    </row>
    <row r="20" spans="1:11" x14ac:dyDescent="0.2">
      <c r="A20" s="6"/>
      <c r="B20" s="7" t="s">
        <v>32</v>
      </c>
      <c r="C20" s="7" t="s">
        <v>33</v>
      </c>
      <c r="D20" s="7">
        <v>30</v>
      </c>
      <c r="E20" s="7" t="s">
        <v>124</v>
      </c>
      <c r="F20" s="8"/>
      <c r="G20" s="9"/>
      <c r="H20" s="7"/>
      <c r="I20" s="10"/>
      <c r="J20" s="26"/>
      <c r="K20" s="18"/>
    </row>
    <row r="21" spans="1:11" x14ac:dyDescent="0.2">
      <c r="A21" s="6"/>
      <c r="B21" s="7" t="s">
        <v>12</v>
      </c>
      <c r="C21" s="7" t="s">
        <v>13</v>
      </c>
      <c r="D21" s="7">
        <v>52</v>
      </c>
      <c r="E21" s="7" t="s">
        <v>124</v>
      </c>
      <c r="F21" s="8" t="s">
        <v>127</v>
      </c>
      <c r="G21" s="9"/>
      <c r="H21" s="7"/>
      <c r="I21" s="10"/>
      <c r="J21" s="26"/>
      <c r="K21" s="18"/>
    </row>
    <row r="22" spans="1:11" x14ac:dyDescent="0.2">
      <c r="A22" s="6"/>
      <c r="B22" s="7" t="s">
        <v>14</v>
      </c>
      <c r="C22" s="7" t="s">
        <v>285</v>
      </c>
      <c r="D22" s="7">
        <v>45</v>
      </c>
      <c r="E22" s="7" t="s">
        <v>124</v>
      </c>
      <c r="F22" s="8"/>
      <c r="G22" s="9"/>
      <c r="H22" s="7"/>
      <c r="I22" s="10"/>
      <c r="J22" s="26"/>
      <c r="K22" s="18"/>
    </row>
    <row r="23" spans="1:11" x14ac:dyDescent="0.2">
      <c r="A23" s="6"/>
      <c r="B23" s="7" t="s">
        <v>18</v>
      </c>
      <c r="C23" s="7" t="s">
        <v>19</v>
      </c>
      <c r="D23" s="7">
        <v>8</v>
      </c>
      <c r="E23" s="7" t="s">
        <v>115</v>
      </c>
      <c r="F23" s="8"/>
      <c r="G23" s="9"/>
      <c r="H23" s="7"/>
      <c r="I23" s="10"/>
      <c r="J23" s="26"/>
      <c r="K23" s="18"/>
    </row>
    <row r="24" spans="1:11" x14ac:dyDescent="0.2">
      <c r="A24" s="6" t="s">
        <v>130</v>
      </c>
      <c r="B24" s="7"/>
      <c r="C24" s="7"/>
      <c r="D24" s="7"/>
      <c r="E24" s="7"/>
      <c r="F24" s="8"/>
      <c r="G24" s="9"/>
      <c r="H24" s="7"/>
      <c r="I24" s="10"/>
      <c r="J24" s="26">
        <f>SUM(I2:I23)</f>
        <v>0</v>
      </c>
      <c r="K24" s="11"/>
    </row>
    <row r="25" spans="1:11" x14ac:dyDescent="0.2">
      <c r="A25" s="6" t="s">
        <v>159</v>
      </c>
      <c r="B25" s="7" t="s">
        <v>168</v>
      </c>
      <c r="C25" s="7" t="s">
        <v>144</v>
      </c>
      <c r="D25" s="7">
        <v>3</v>
      </c>
      <c r="E25" s="7" t="s">
        <v>124</v>
      </c>
      <c r="F25" s="8" t="s">
        <v>287</v>
      </c>
      <c r="G25" s="7"/>
      <c r="H25" s="7"/>
      <c r="I25" s="10"/>
      <c r="J25" s="26"/>
      <c r="K25" s="18"/>
    </row>
    <row r="26" spans="1:11" x14ac:dyDescent="0.2">
      <c r="A26" s="6"/>
      <c r="B26" s="7" t="s">
        <v>40</v>
      </c>
      <c r="C26" s="7" t="s">
        <v>145</v>
      </c>
      <c r="D26" s="7">
        <v>5</v>
      </c>
      <c r="E26" s="7" t="s">
        <v>124</v>
      </c>
      <c r="F26" s="8" t="s">
        <v>169</v>
      </c>
      <c r="G26" s="7"/>
      <c r="H26" s="16"/>
      <c r="I26" s="10"/>
      <c r="J26" s="26"/>
      <c r="K26" s="18"/>
    </row>
    <row r="27" spans="1:11" x14ac:dyDescent="0.2">
      <c r="A27" s="6"/>
      <c r="B27" s="7" t="s">
        <v>43</v>
      </c>
      <c r="C27" s="7" t="s">
        <v>148</v>
      </c>
      <c r="D27" s="7">
        <v>5</v>
      </c>
      <c r="E27" s="7" t="s">
        <v>124</v>
      </c>
      <c r="F27" s="8" t="s">
        <v>161</v>
      </c>
      <c r="G27" s="7"/>
      <c r="H27" s="7"/>
      <c r="I27" s="10"/>
      <c r="J27" s="26"/>
      <c r="K27" s="18"/>
    </row>
    <row r="28" spans="1:11" x14ac:dyDescent="0.2">
      <c r="A28" s="6"/>
      <c r="B28" s="7" t="s">
        <v>38</v>
      </c>
      <c r="C28" s="7" t="s">
        <v>142</v>
      </c>
      <c r="D28" s="7">
        <v>4</v>
      </c>
      <c r="E28" s="7" t="s">
        <v>124</v>
      </c>
      <c r="F28" s="8" t="s">
        <v>161</v>
      </c>
      <c r="G28" s="7"/>
      <c r="H28" s="7"/>
      <c r="I28" s="10"/>
      <c r="J28" s="26"/>
      <c r="K28" s="18"/>
    </row>
    <row r="29" spans="1:11" x14ac:dyDescent="0.2">
      <c r="A29" s="6"/>
      <c r="B29" s="7" t="s">
        <v>44</v>
      </c>
      <c r="C29" s="7" t="s">
        <v>150</v>
      </c>
      <c r="D29" s="7">
        <v>5</v>
      </c>
      <c r="E29" s="7" t="s">
        <v>124</v>
      </c>
      <c r="F29" s="8" t="s">
        <v>162</v>
      </c>
      <c r="G29" s="7"/>
      <c r="H29" s="7"/>
      <c r="I29" s="10"/>
      <c r="J29" s="26"/>
      <c r="K29" s="18"/>
    </row>
    <row r="30" spans="1:11" x14ac:dyDescent="0.2">
      <c r="A30" s="6"/>
      <c r="B30" s="7" t="s">
        <v>158</v>
      </c>
      <c r="C30" s="7" t="s">
        <v>149</v>
      </c>
      <c r="D30" s="7">
        <v>4</v>
      </c>
      <c r="E30" s="7" t="s">
        <v>124</v>
      </c>
      <c r="F30" s="8" t="s">
        <v>160</v>
      </c>
      <c r="G30" s="7"/>
      <c r="H30" s="7"/>
      <c r="I30" s="10"/>
      <c r="J30" s="26"/>
      <c r="K30" s="18"/>
    </row>
    <row r="31" spans="1:11" x14ac:dyDescent="0.2">
      <c r="A31" s="6"/>
      <c r="B31" s="7" t="s">
        <v>45</v>
      </c>
      <c r="C31" s="7" t="s">
        <v>157</v>
      </c>
      <c r="D31" s="7">
        <v>5</v>
      </c>
      <c r="E31" s="7" t="s">
        <v>124</v>
      </c>
      <c r="F31" s="8" t="s">
        <v>164</v>
      </c>
      <c r="G31" s="7"/>
      <c r="H31" s="7"/>
      <c r="I31" s="10"/>
      <c r="J31" s="26"/>
      <c r="K31" s="18"/>
    </row>
    <row r="32" spans="1:11" x14ac:dyDescent="0.2">
      <c r="A32" s="6"/>
      <c r="B32" s="7" t="s">
        <v>50</v>
      </c>
      <c r="C32" s="7" t="s">
        <v>163</v>
      </c>
      <c r="D32" s="7">
        <v>3</v>
      </c>
      <c r="E32" s="7" t="s">
        <v>124</v>
      </c>
      <c r="F32" s="8" t="s">
        <v>165</v>
      </c>
      <c r="G32" s="7"/>
      <c r="H32" s="7"/>
      <c r="I32" s="10"/>
      <c r="J32" s="26"/>
      <c r="K32" s="18"/>
    </row>
    <row r="33" spans="1:11" x14ac:dyDescent="0.2">
      <c r="A33" s="6"/>
      <c r="B33" s="7" t="s">
        <v>47</v>
      </c>
      <c r="C33" s="7" t="s">
        <v>152</v>
      </c>
      <c r="D33" s="7">
        <v>5</v>
      </c>
      <c r="E33" s="7" t="s">
        <v>124</v>
      </c>
      <c r="F33" s="8" t="s">
        <v>165</v>
      </c>
      <c r="G33" s="7"/>
      <c r="H33" s="7"/>
      <c r="I33" s="10"/>
      <c r="J33" s="26"/>
      <c r="K33" s="18"/>
    </row>
    <row r="34" spans="1:11" x14ac:dyDescent="0.2">
      <c r="A34" s="6"/>
      <c r="B34" s="7" t="s">
        <v>41</v>
      </c>
      <c r="C34" s="7" t="s">
        <v>146</v>
      </c>
      <c r="D34" s="7">
        <v>15</v>
      </c>
      <c r="E34" s="7" t="s">
        <v>124</v>
      </c>
      <c r="F34" s="8" t="s">
        <v>289</v>
      </c>
      <c r="G34" s="7"/>
      <c r="H34" s="7"/>
      <c r="I34" s="10"/>
      <c r="J34" s="26"/>
      <c r="K34" s="18"/>
    </row>
    <row r="35" spans="1:11" x14ac:dyDescent="0.2">
      <c r="A35" s="6"/>
      <c r="B35" s="7" t="s">
        <v>39</v>
      </c>
      <c r="C35" s="7" t="s">
        <v>143</v>
      </c>
      <c r="D35" s="7">
        <v>25</v>
      </c>
      <c r="E35" s="7" t="s">
        <v>124</v>
      </c>
      <c r="F35" s="8" t="s">
        <v>288</v>
      </c>
      <c r="G35" s="7"/>
      <c r="H35" s="7"/>
      <c r="I35" s="10"/>
      <c r="J35" s="26"/>
      <c r="K35" s="18"/>
    </row>
    <row r="36" spans="1:11" x14ac:dyDescent="0.2">
      <c r="A36" s="6"/>
      <c r="B36" s="7" t="s">
        <v>46</v>
      </c>
      <c r="C36" s="7" t="s">
        <v>151</v>
      </c>
      <c r="D36" s="7">
        <v>1</v>
      </c>
      <c r="E36" s="7" t="s">
        <v>124</v>
      </c>
      <c r="F36" s="8" t="s">
        <v>166</v>
      </c>
      <c r="G36" s="7"/>
      <c r="H36" s="7"/>
      <c r="I36" s="10"/>
      <c r="J36" s="26"/>
      <c r="K36" s="18"/>
    </row>
    <row r="37" spans="1:11" x14ac:dyDescent="0.2">
      <c r="A37" s="6"/>
      <c r="B37" s="7" t="s">
        <v>42</v>
      </c>
      <c r="C37" s="7" t="s">
        <v>147</v>
      </c>
      <c r="D37" s="7">
        <v>2</v>
      </c>
      <c r="E37" s="7" t="s">
        <v>124</v>
      </c>
      <c r="F37" s="8" t="s">
        <v>166</v>
      </c>
      <c r="G37" s="7"/>
      <c r="H37" s="7"/>
      <c r="I37" s="10"/>
      <c r="J37" s="26"/>
      <c r="K37" s="18"/>
    </row>
    <row r="38" spans="1:11" x14ac:dyDescent="0.2">
      <c r="A38" s="6"/>
      <c r="B38" s="7" t="s">
        <v>48</v>
      </c>
      <c r="C38" s="7" t="s">
        <v>153</v>
      </c>
      <c r="D38" s="7">
        <v>1</v>
      </c>
      <c r="E38" s="7" t="s">
        <v>124</v>
      </c>
      <c r="F38" s="8" t="s">
        <v>167</v>
      </c>
      <c r="G38" s="7"/>
      <c r="H38" s="7"/>
      <c r="I38" s="10"/>
      <c r="J38" s="26"/>
      <c r="K38" s="18"/>
    </row>
    <row r="39" spans="1:11" x14ac:dyDescent="0.2">
      <c r="A39" s="6"/>
      <c r="B39" s="7" t="s">
        <v>49</v>
      </c>
      <c r="C39" s="7" t="s">
        <v>156</v>
      </c>
      <c r="D39" s="7">
        <v>8</v>
      </c>
      <c r="E39" s="7" t="s">
        <v>124</v>
      </c>
      <c r="F39" s="8" t="s">
        <v>155</v>
      </c>
      <c r="G39" s="7"/>
      <c r="H39" s="7"/>
      <c r="I39" s="10"/>
      <c r="J39" s="26"/>
      <c r="K39" s="18"/>
    </row>
    <row r="40" spans="1:11" x14ac:dyDescent="0.2">
      <c r="A40" s="6" t="s">
        <v>170</v>
      </c>
      <c r="B40" s="7"/>
      <c r="C40" s="7"/>
      <c r="D40" s="7"/>
      <c r="E40" s="7"/>
      <c r="F40" s="8"/>
      <c r="G40" s="7"/>
      <c r="H40" s="7"/>
      <c r="I40" s="10"/>
      <c r="J40" s="26">
        <f>SUM(I25:I39)</f>
        <v>0</v>
      </c>
      <c r="K40" s="11"/>
    </row>
    <row r="41" spans="1:11" ht="13.5" customHeight="1" x14ac:dyDescent="0.2">
      <c r="A41" s="6" t="s">
        <v>173</v>
      </c>
      <c r="B41" s="7" t="s">
        <v>51</v>
      </c>
      <c r="C41" s="31" t="s">
        <v>209</v>
      </c>
      <c r="D41" s="7">
        <v>8</v>
      </c>
      <c r="E41" s="7" t="s">
        <v>124</v>
      </c>
      <c r="F41" s="8" t="s">
        <v>286</v>
      </c>
      <c r="G41" s="7"/>
      <c r="H41" s="17"/>
      <c r="I41" s="10"/>
      <c r="J41" s="26"/>
      <c r="K41" s="18"/>
    </row>
    <row r="42" spans="1:11" x14ac:dyDescent="0.2">
      <c r="A42" s="6"/>
      <c r="B42" s="7" t="s">
        <v>69</v>
      </c>
      <c r="C42" s="7" t="s">
        <v>198</v>
      </c>
      <c r="D42" s="7">
        <v>1</v>
      </c>
      <c r="E42" s="7" t="s">
        <v>124</v>
      </c>
      <c r="F42" s="8" t="s">
        <v>210</v>
      </c>
      <c r="G42" s="7"/>
      <c r="H42" s="7"/>
      <c r="I42" s="10"/>
      <c r="J42" s="26"/>
      <c r="K42" s="18"/>
    </row>
    <row r="43" spans="1:11" x14ac:dyDescent="0.2">
      <c r="A43" s="6"/>
      <c r="B43" s="7" t="s">
        <v>212</v>
      </c>
      <c r="C43" s="7" t="s">
        <v>188</v>
      </c>
      <c r="D43" s="7">
        <v>1</v>
      </c>
      <c r="E43" s="7" t="s">
        <v>115</v>
      </c>
      <c r="F43" s="8"/>
      <c r="G43" s="7"/>
      <c r="H43" s="7"/>
      <c r="I43" s="10"/>
      <c r="J43" s="26"/>
      <c r="K43" s="18"/>
    </row>
    <row r="44" spans="1:11" x14ac:dyDescent="0.2">
      <c r="A44" s="6"/>
      <c r="B44" s="7" t="s">
        <v>67</v>
      </c>
      <c r="C44" s="7" t="s">
        <v>196</v>
      </c>
      <c r="D44" s="7">
        <v>1</v>
      </c>
      <c r="E44" s="7" t="s">
        <v>115</v>
      </c>
      <c r="F44" s="8"/>
      <c r="G44" s="7"/>
      <c r="H44" s="7"/>
      <c r="I44" s="10"/>
      <c r="J44" s="26"/>
      <c r="K44" s="18"/>
    </row>
    <row r="45" spans="1:11" x14ac:dyDescent="0.2">
      <c r="A45" s="6"/>
      <c r="B45" s="7" t="s">
        <v>57</v>
      </c>
      <c r="C45" s="7" t="s">
        <v>216</v>
      </c>
      <c r="D45" s="7">
        <v>2</v>
      </c>
      <c r="E45" s="7" t="s">
        <v>124</v>
      </c>
      <c r="F45" s="8" t="s">
        <v>228</v>
      </c>
      <c r="G45" s="7"/>
      <c r="H45" s="7"/>
      <c r="I45" s="10"/>
      <c r="J45" s="26"/>
      <c r="K45" s="18"/>
    </row>
    <row r="46" spans="1:11" x14ac:dyDescent="0.2">
      <c r="A46" s="6"/>
      <c r="B46" s="7" t="s">
        <v>62</v>
      </c>
      <c r="C46" s="7" t="s">
        <v>213</v>
      </c>
      <c r="D46" s="7">
        <v>1</v>
      </c>
      <c r="E46" s="7" t="s">
        <v>124</v>
      </c>
      <c r="F46" s="8" t="s">
        <v>214</v>
      </c>
      <c r="G46" s="7"/>
      <c r="H46" s="7"/>
      <c r="I46" s="10"/>
      <c r="J46" s="26"/>
      <c r="K46" s="18"/>
    </row>
    <row r="47" spans="1:11" x14ac:dyDescent="0.2">
      <c r="A47" s="6"/>
      <c r="B47" s="7" t="s">
        <v>63</v>
      </c>
      <c r="C47" s="7" t="s">
        <v>193</v>
      </c>
      <c r="D47" s="7">
        <v>1</v>
      </c>
      <c r="E47" s="7" t="s">
        <v>124</v>
      </c>
      <c r="F47" s="8" t="s">
        <v>214</v>
      </c>
      <c r="G47" s="7"/>
      <c r="H47" s="7"/>
      <c r="I47" s="10"/>
      <c r="J47" s="26"/>
      <c r="K47" s="18"/>
    </row>
    <row r="48" spans="1:11" x14ac:dyDescent="0.2">
      <c r="A48" s="6"/>
      <c r="B48" s="7" t="s">
        <v>64</v>
      </c>
      <c r="C48" s="7" t="s">
        <v>194</v>
      </c>
      <c r="D48" s="7">
        <v>1</v>
      </c>
      <c r="E48" s="7" t="s">
        <v>124</v>
      </c>
      <c r="F48" s="8" t="s">
        <v>215</v>
      </c>
      <c r="G48" s="7"/>
      <c r="H48" s="7"/>
      <c r="I48" s="10"/>
      <c r="J48" s="26"/>
      <c r="K48" s="18"/>
    </row>
    <row r="49" spans="1:11" x14ac:dyDescent="0.2">
      <c r="A49" s="6"/>
      <c r="B49" s="7" t="s">
        <v>65</v>
      </c>
      <c r="C49" s="7" t="s">
        <v>195</v>
      </c>
      <c r="D49" s="7">
        <v>1</v>
      </c>
      <c r="E49" s="7" t="s">
        <v>124</v>
      </c>
      <c r="F49" s="8" t="s">
        <v>217</v>
      </c>
      <c r="G49" s="7"/>
      <c r="H49" s="7"/>
      <c r="I49" s="10"/>
      <c r="J49" s="26"/>
      <c r="K49" s="18"/>
    </row>
    <row r="50" spans="1:11" x14ac:dyDescent="0.2">
      <c r="A50" s="6"/>
      <c r="B50" s="7" t="s">
        <v>66</v>
      </c>
      <c r="C50" s="7" t="s">
        <v>218</v>
      </c>
      <c r="D50" s="7">
        <v>1</v>
      </c>
      <c r="E50" s="7" t="s">
        <v>122</v>
      </c>
      <c r="F50" s="8"/>
      <c r="G50" s="7"/>
      <c r="H50" s="7"/>
      <c r="I50" s="10"/>
      <c r="J50" s="26"/>
      <c r="K50" s="18"/>
    </row>
    <row r="51" spans="1:11" x14ac:dyDescent="0.2">
      <c r="A51" s="6"/>
      <c r="B51" s="7" t="s">
        <v>68</v>
      </c>
      <c r="C51" s="7" t="s">
        <v>197</v>
      </c>
      <c r="D51" s="7">
        <v>1</v>
      </c>
      <c r="E51" s="7" t="s">
        <v>122</v>
      </c>
      <c r="F51" s="8"/>
      <c r="G51" s="7"/>
      <c r="H51" s="7"/>
      <c r="I51" s="10"/>
      <c r="J51" s="26"/>
      <c r="K51" s="18"/>
    </row>
    <row r="52" spans="1:11" x14ac:dyDescent="0.2">
      <c r="A52" s="6"/>
      <c r="B52" s="7" t="s">
        <v>60</v>
      </c>
      <c r="C52" s="7" t="s">
        <v>191</v>
      </c>
      <c r="D52" s="7">
        <v>1</v>
      </c>
      <c r="E52" s="7" t="s">
        <v>124</v>
      </c>
      <c r="F52" s="8" t="s">
        <v>219</v>
      </c>
      <c r="G52" s="7"/>
      <c r="H52" s="7"/>
      <c r="I52" s="10"/>
      <c r="J52" s="26"/>
      <c r="K52" s="18"/>
    </row>
    <row r="53" spans="1:11" x14ac:dyDescent="0.2">
      <c r="A53" s="6"/>
      <c r="B53" s="7" t="s">
        <v>52</v>
      </c>
      <c r="C53" s="7" t="s">
        <v>183</v>
      </c>
      <c r="D53" s="7">
        <v>3</v>
      </c>
      <c r="E53" s="7" t="s">
        <v>124</v>
      </c>
      <c r="F53" s="8" t="s">
        <v>224</v>
      </c>
      <c r="G53" s="7"/>
      <c r="H53" s="7"/>
      <c r="I53" s="10"/>
      <c r="J53" s="26"/>
      <c r="K53" s="18"/>
    </row>
    <row r="54" spans="1:11" x14ac:dyDescent="0.2">
      <c r="A54" s="6"/>
      <c r="B54" s="7" t="s">
        <v>53</v>
      </c>
      <c r="C54" s="7" t="s">
        <v>184</v>
      </c>
      <c r="D54" s="7">
        <v>1</v>
      </c>
      <c r="E54" s="7" t="s">
        <v>124</v>
      </c>
      <c r="F54" s="8" t="s">
        <v>220</v>
      </c>
      <c r="G54" s="7"/>
      <c r="H54" s="7"/>
      <c r="I54" s="10"/>
      <c r="J54" s="26"/>
      <c r="K54" s="18"/>
    </row>
    <row r="55" spans="1:11" x14ac:dyDescent="0.2">
      <c r="A55" s="6"/>
      <c r="B55" s="7" t="s">
        <v>54</v>
      </c>
      <c r="C55" s="7" t="s">
        <v>185</v>
      </c>
      <c r="D55" s="7">
        <v>1</v>
      </c>
      <c r="E55" s="7" t="s">
        <v>124</v>
      </c>
      <c r="F55" s="8" t="s">
        <v>221</v>
      </c>
      <c r="G55" s="7"/>
      <c r="H55" s="7"/>
      <c r="I55" s="10"/>
      <c r="J55" s="26"/>
      <c r="K55" s="18"/>
    </row>
    <row r="56" spans="1:11" x14ac:dyDescent="0.2">
      <c r="A56" s="6"/>
      <c r="B56" s="7" t="s">
        <v>55</v>
      </c>
      <c r="C56" s="7" t="s">
        <v>186</v>
      </c>
      <c r="D56" s="7">
        <v>1</v>
      </c>
      <c r="E56" s="7" t="s">
        <v>124</v>
      </c>
      <c r="F56" s="8" t="s">
        <v>222</v>
      </c>
      <c r="G56" s="7"/>
      <c r="H56" s="7"/>
      <c r="I56" s="10"/>
      <c r="J56" s="26"/>
      <c r="K56" s="18"/>
    </row>
    <row r="57" spans="1:11" x14ac:dyDescent="0.2">
      <c r="A57" s="6"/>
      <c r="B57" s="7" t="s">
        <v>58</v>
      </c>
      <c r="C57" s="7" t="s">
        <v>189</v>
      </c>
      <c r="D57" s="7">
        <v>6</v>
      </c>
      <c r="E57" s="7" t="s">
        <v>124</v>
      </c>
      <c r="F57" s="8" t="s">
        <v>223</v>
      </c>
      <c r="G57" s="7"/>
      <c r="H57" s="7"/>
      <c r="I57" s="10"/>
      <c r="J57" s="26"/>
      <c r="K57" s="18"/>
    </row>
    <row r="58" spans="1:11" x14ac:dyDescent="0.2">
      <c r="A58" s="6"/>
      <c r="B58" s="7" t="s">
        <v>229</v>
      </c>
      <c r="C58" s="7" t="s">
        <v>230</v>
      </c>
      <c r="D58" s="7">
        <v>1</v>
      </c>
      <c r="E58" s="7" t="s">
        <v>124</v>
      </c>
      <c r="F58" s="8" t="s">
        <v>231</v>
      </c>
      <c r="G58" s="7"/>
      <c r="H58" s="7"/>
      <c r="I58" s="10"/>
      <c r="J58" s="26"/>
      <c r="K58" s="18"/>
    </row>
    <row r="59" spans="1:11" x14ac:dyDescent="0.2">
      <c r="A59" s="6"/>
      <c r="B59" s="7" t="s">
        <v>56</v>
      </c>
      <c r="C59" s="7" t="s">
        <v>187</v>
      </c>
      <c r="D59" s="7">
        <v>1</v>
      </c>
      <c r="E59" s="7" t="s">
        <v>124</v>
      </c>
      <c r="F59" s="8" t="s">
        <v>225</v>
      </c>
      <c r="G59" s="7"/>
      <c r="H59" s="7"/>
      <c r="I59" s="10"/>
      <c r="J59" s="26"/>
      <c r="K59" s="18"/>
    </row>
    <row r="60" spans="1:11" x14ac:dyDescent="0.2">
      <c r="A60" s="6"/>
      <c r="B60" s="7" t="s">
        <v>284</v>
      </c>
      <c r="C60" s="7" t="s">
        <v>284</v>
      </c>
      <c r="D60" s="7">
        <v>2</v>
      </c>
      <c r="E60" s="7" t="s">
        <v>124</v>
      </c>
      <c r="F60" s="8" t="s">
        <v>226</v>
      </c>
      <c r="G60" s="7"/>
      <c r="H60" s="7"/>
      <c r="I60" s="10"/>
      <c r="J60" s="26"/>
      <c r="K60" s="18"/>
    </row>
    <row r="61" spans="1:11" x14ac:dyDescent="0.2">
      <c r="A61" s="6"/>
      <c r="B61" s="7" t="s">
        <v>61</v>
      </c>
      <c r="C61" s="7" t="s">
        <v>192</v>
      </c>
      <c r="D61" s="7">
        <v>1</v>
      </c>
      <c r="E61" s="7" t="s">
        <v>124</v>
      </c>
      <c r="F61" s="8" t="s">
        <v>232</v>
      </c>
      <c r="G61" s="7"/>
      <c r="H61" s="7"/>
      <c r="I61" s="10"/>
      <c r="J61" s="26"/>
      <c r="K61" s="18"/>
    </row>
    <row r="62" spans="1:11" x14ac:dyDescent="0.2">
      <c r="A62" s="6"/>
      <c r="B62" s="7" t="s">
        <v>59</v>
      </c>
      <c r="C62" s="7" t="s">
        <v>190</v>
      </c>
      <c r="D62" s="7">
        <v>7</v>
      </c>
      <c r="E62" s="7" t="s">
        <v>124</v>
      </c>
      <c r="F62" s="8" t="s">
        <v>227</v>
      </c>
      <c r="G62" s="7"/>
      <c r="H62" s="7"/>
      <c r="I62" s="10"/>
      <c r="J62" s="26"/>
      <c r="K62" s="18"/>
    </row>
    <row r="63" spans="1:11" x14ac:dyDescent="0.2">
      <c r="A63" s="6" t="s">
        <v>211</v>
      </c>
      <c r="B63" s="7"/>
      <c r="C63" s="7"/>
      <c r="D63" s="7"/>
      <c r="E63" s="7"/>
      <c r="F63" s="8"/>
      <c r="G63" s="7"/>
      <c r="H63" s="7"/>
      <c r="I63" s="10"/>
      <c r="J63" s="26">
        <f>SUM(I41:I62)</f>
        <v>0</v>
      </c>
      <c r="K63" s="11"/>
    </row>
    <row r="64" spans="1:11" x14ac:dyDescent="0.2">
      <c r="A64" s="6" t="s">
        <v>70</v>
      </c>
      <c r="B64" s="7" t="s">
        <v>71</v>
      </c>
      <c r="C64" s="7"/>
      <c r="D64" s="7">
        <v>2</v>
      </c>
      <c r="E64" s="7" t="s">
        <v>122</v>
      </c>
      <c r="F64" s="8"/>
      <c r="G64" s="7"/>
      <c r="H64" s="7"/>
      <c r="I64" s="10"/>
      <c r="J64" s="26"/>
      <c r="K64" s="18"/>
    </row>
    <row r="65" spans="1:11" x14ac:dyDescent="0.2">
      <c r="A65" s="6" t="s">
        <v>129</v>
      </c>
      <c r="B65" s="7" t="s">
        <v>280</v>
      </c>
      <c r="C65" s="7" t="s">
        <v>131</v>
      </c>
      <c r="D65" s="7">
        <v>4</v>
      </c>
      <c r="E65" s="7" t="s">
        <v>115</v>
      </c>
      <c r="F65" s="8"/>
      <c r="G65" s="7"/>
      <c r="H65" s="7"/>
      <c r="I65" s="10"/>
      <c r="J65" s="26"/>
      <c r="K65" s="18"/>
    </row>
    <row r="66" spans="1:11" x14ac:dyDescent="0.2">
      <c r="A66" s="6"/>
      <c r="B66" s="7" t="s">
        <v>73</v>
      </c>
      <c r="C66" s="7" t="s">
        <v>248</v>
      </c>
      <c r="D66" s="7">
        <v>1</v>
      </c>
      <c r="E66" s="7" t="s">
        <v>124</v>
      </c>
      <c r="F66" s="8" t="s">
        <v>154</v>
      </c>
      <c r="G66" s="7"/>
      <c r="H66" s="7"/>
      <c r="I66" s="10"/>
      <c r="J66" s="26"/>
      <c r="K66" s="18"/>
    </row>
    <row r="67" spans="1:11" x14ac:dyDescent="0.2">
      <c r="A67" s="6"/>
      <c r="B67" s="7" t="s">
        <v>72</v>
      </c>
      <c r="C67" s="7" t="s">
        <v>132</v>
      </c>
      <c r="D67" s="7">
        <v>1</v>
      </c>
      <c r="E67" s="7" t="s">
        <v>124</v>
      </c>
      <c r="F67" s="8" t="s">
        <v>137</v>
      </c>
      <c r="G67" s="9"/>
      <c r="H67" s="7"/>
      <c r="I67" s="10"/>
      <c r="J67" s="26"/>
      <c r="K67" s="18"/>
    </row>
    <row r="68" spans="1:11" x14ac:dyDescent="0.2">
      <c r="A68" s="6"/>
      <c r="B68" s="7" t="s">
        <v>74</v>
      </c>
      <c r="C68" s="7" t="s">
        <v>133</v>
      </c>
      <c r="D68" s="7">
        <v>1</v>
      </c>
      <c r="E68" s="7" t="s">
        <v>124</v>
      </c>
      <c r="F68" s="8" t="s">
        <v>138</v>
      </c>
      <c r="G68" s="7"/>
      <c r="H68" s="7"/>
      <c r="I68" s="10"/>
      <c r="J68" s="26"/>
      <c r="K68" s="18"/>
    </row>
    <row r="69" spans="1:11" x14ac:dyDescent="0.2">
      <c r="A69" s="6"/>
      <c r="B69" s="7" t="s">
        <v>75</v>
      </c>
      <c r="C69" s="7" t="s">
        <v>134</v>
      </c>
      <c r="D69" s="7">
        <v>2</v>
      </c>
      <c r="E69" s="7" t="s">
        <v>124</v>
      </c>
      <c r="F69" s="8" t="s">
        <v>139</v>
      </c>
      <c r="G69" s="7"/>
      <c r="H69" s="7"/>
      <c r="I69" s="10"/>
      <c r="J69" s="26"/>
      <c r="K69" s="18"/>
    </row>
    <row r="70" spans="1:11" x14ac:dyDescent="0.2">
      <c r="A70" s="6"/>
      <c r="B70" s="7" t="s">
        <v>76</v>
      </c>
      <c r="C70" s="7" t="s">
        <v>135</v>
      </c>
      <c r="D70" s="7">
        <v>10</v>
      </c>
      <c r="E70" s="7" t="s">
        <v>124</v>
      </c>
      <c r="F70" s="8" t="s">
        <v>140</v>
      </c>
      <c r="G70" s="7"/>
      <c r="H70" s="7"/>
      <c r="I70" s="10"/>
      <c r="J70" s="26"/>
      <c r="K70" s="18"/>
    </row>
    <row r="71" spans="1:11" x14ac:dyDescent="0.2">
      <c r="A71" s="6"/>
      <c r="B71" s="7" t="s">
        <v>77</v>
      </c>
      <c r="C71" s="7" t="s">
        <v>136</v>
      </c>
      <c r="D71" s="7">
        <v>4</v>
      </c>
      <c r="E71" s="7" t="s">
        <v>124</v>
      </c>
      <c r="F71" s="8" t="s">
        <v>141</v>
      </c>
      <c r="G71" s="7"/>
      <c r="H71" s="7"/>
      <c r="I71" s="10"/>
      <c r="J71" s="26"/>
      <c r="K71" s="18"/>
    </row>
    <row r="72" spans="1:11" x14ac:dyDescent="0.2">
      <c r="A72" s="6" t="s">
        <v>130</v>
      </c>
      <c r="B72" s="7"/>
      <c r="C72" s="7"/>
      <c r="D72" s="7"/>
      <c r="E72" s="7"/>
      <c r="F72" s="8"/>
      <c r="G72" s="7"/>
      <c r="H72" s="7"/>
      <c r="J72" s="26">
        <f>SUM(I64:I71)</f>
        <v>0</v>
      </c>
      <c r="K72" s="11"/>
    </row>
    <row r="73" spans="1:11" x14ac:dyDescent="0.2">
      <c r="A73" s="6" t="s">
        <v>128</v>
      </c>
      <c r="B73" s="7" t="s">
        <v>78</v>
      </c>
      <c r="C73" s="7" t="s">
        <v>233</v>
      </c>
      <c r="D73" s="7">
        <v>1</v>
      </c>
      <c r="E73" s="7" t="s">
        <v>122</v>
      </c>
      <c r="F73" s="8"/>
      <c r="G73" s="7"/>
      <c r="H73" s="7"/>
      <c r="I73" s="10"/>
      <c r="J73" s="26"/>
      <c r="K73" s="18"/>
    </row>
    <row r="74" spans="1:11" x14ac:dyDescent="0.2">
      <c r="A74" s="6"/>
      <c r="B74" s="7" t="s">
        <v>79</v>
      </c>
      <c r="C74" s="7" t="s">
        <v>234</v>
      </c>
      <c r="D74" s="7">
        <v>1</v>
      </c>
      <c r="E74" s="7" t="s">
        <v>115</v>
      </c>
      <c r="F74" s="8"/>
      <c r="G74" s="7"/>
      <c r="H74" s="7"/>
      <c r="I74" s="10"/>
      <c r="J74" s="26"/>
      <c r="K74" s="18"/>
    </row>
    <row r="75" spans="1:11" x14ac:dyDescent="0.2">
      <c r="A75" s="6"/>
      <c r="B75" s="7" t="s">
        <v>80</v>
      </c>
      <c r="C75" s="7" t="s">
        <v>235</v>
      </c>
      <c r="D75" s="7">
        <v>1</v>
      </c>
      <c r="E75" s="7" t="s">
        <v>115</v>
      </c>
      <c r="F75" s="8"/>
      <c r="G75" s="7"/>
      <c r="H75" s="7"/>
      <c r="I75" s="10"/>
      <c r="J75" s="26"/>
      <c r="K75" s="18"/>
    </row>
    <row r="76" spans="1:11" x14ac:dyDescent="0.2">
      <c r="A76" s="6"/>
      <c r="B76" s="7" t="s">
        <v>81</v>
      </c>
      <c r="C76" s="7" t="s">
        <v>236</v>
      </c>
      <c r="D76" s="7">
        <v>1</v>
      </c>
      <c r="E76" s="7" t="s">
        <v>124</v>
      </c>
      <c r="F76" s="8" t="s">
        <v>243</v>
      </c>
      <c r="G76" s="7"/>
      <c r="H76" s="7"/>
      <c r="I76" s="10"/>
      <c r="J76" s="26"/>
      <c r="K76" s="18"/>
    </row>
    <row r="77" spans="1:11" x14ac:dyDescent="0.2">
      <c r="A77" s="6"/>
      <c r="B77" s="7" t="s">
        <v>82</v>
      </c>
      <c r="C77" s="7" t="s">
        <v>237</v>
      </c>
      <c r="D77" s="7">
        <v>1</v>
      </c>
      <c r="E77" s="7" t="s">
        <v>124</v>
      </c>
      <c r="F77" s="8" t="s">
        <v>244</v>
      </c>
      <c r="G77" s="7"/>
      <c r="H77" s="7"/>
      <c r="I77" s="10"/>
      <c r="J77" s="26"/>
      <c r="K77" s="18"/>
    </row>
    <row r="78" spans="1:11" x14ac:dyDescent="0.2">
      <c r="A78" s="6"/>
      <c r="B78" s="7" t="s">
        <v>83</v>
      </c>
      <c r="C78" s="7" t="s">
        <v>238</v>
      </c>
      <c r="D78" s="7">
        <v>1</v>
      </c>
      <c r="E78" s="7" t="s">
        <v>124</v>
      </c>
      <c r="F78" s="8" t="s">
        <v>245</v>
      </c>
      <c r="G78" s="7"/>
      <c r="H78" s="7"/>
      <c r="K78" s="18"/>
    </row>
    <row r="79" spans="1:11" x14ac:dyDescent="0.2">
      <c r="A79" s="6"/>
      <c r="B79" s="7" t="s">
        <v>84</v>
      </c>
      <c r="C79" s="7" t="s">
        <v>239</v>
      </c>
      <c r="D79" s="7">
        <v>1</v>
      </c>
      <c r="E79" s="7" t="s">
        <v>124</v>
      </c>
      <c r="F79" s="8"/>
      <c r="G79" s="7"/>
      <c r="H79" s="7"/>
      <c r="I79" s="10"/>
      <c r="J79" s="26"/>
      <c r="K79" s="18"/>
    </row>
    <row r="80" spans="1:11" x14ac:dyDescent="0.2">
      <c r="A80" s="6"/>
      <c r="B80" s="7" t="s">
        <v>85</v>
      </c>
      <c r="C80" s="7" t="s">
        <v>240</v>
      </c>
      <c r="D80" s="7">
        <v>1</v>
      </c>
      <c r="E80" s="7" t="s">
        <v>124</v>
      </c>
      <c r="F80" s="8" t="s">
        <v>246</v>
      </c>
      <c r="G80" s="7"/>
      <c r="H80" s="7"/>
      <c r="I80" s="10"/>
      <c r="J80" s="26"/>
      <c r="K80" s="18"/>
    </row>
    <row r="81" spans="1:11" x14ac:dyDescent="0.2">
      <c r="A81" s="6"/>
      <c r="B81" s="7" t="s">
        <v>86</v>
      </c>
      <c r="C81" s="7" t="s">
        <v>241</v>
      </c>
      <c r="D81" s="7">
        <v>4</v>
      </c>
      <c r="E81" s="7" t="s">
        <v>124</v>
      </c>
      <c r="F81" s="8" t="s">
        <v>247</v>
      </c>
      <c r="G81" s="7"/>
      <c r="H81" s="7"/>
      <c r="I81" s="10"/>
      <c r="J81" s="26"/>
      <c r="K81" s="18"/>
    </row>
    <row r="82" spans="1:11" x14ac:dyDescent="0.2">
      <c r="A82" s="6"/>
      <c r="B82" s="7" t="s">
        <v>87</v>
      </c>
      <c r="C82" s="7" t="s">
        <v>242</v>
      </c>
      <c r="D82" s="7">
        <v>1</v>
      </c>
      <c r="E82" s="7" t="s">
        <v>115</v>
      </c>
      <c r="F82" s="8"/>
      <c r="G82" s="7"/>
      <c r="H82" s="7"/>
      <c r="I82" s="10"/>
      <c r="J82" s="26"/>
      <c r="K82" s="18"/>
    </row>
    <row r="83" spans="1:11" x14ac:dyDescent="0.2">
      <c r="A83" s="6"/>
      <c r="B83" s="7" t="s">
        <v>279</v>
      </c>
      <c r="C83" s="7"/>
      <c r="D83" s="7">
        <v>1</v>
      </c>
      <c r="E83" s="7" t="s">
        <v>124</v>
      </c>
      <c r="F83" s="8"/>
      <c r="G83" s="7"/>
      <c r="H83" s="7"/>
      <c r="I83" s="10"/>
      <c r="J83" s="26"/>
      <c r="K83" s="18"/>
    </row>
    <row r="84" spans="1:11" x14ac:dyDescent="0.2">
      <c r="A84" s="6"/>
      <c r="B84" s="7" t="s">
        <v>279</v>
      </c>
      <c r="C84" s="7"/>
      <c r="D84" s="7">
        <v>1</v>
      </c>
      <c r="E84" s="7" t="s">
        <v>124</v>
      </c>
      <c r="F84" s="8"/>
      <c r="G84" s="7"/>
      <c r="H84" s="7"/>
      <c r="I84" s="10"/>
      <c r="J84" s="26"/>
      <c r="K84" s="18"/>
    </row>
    <row r="85" spans="1:11" x14ac:dyDescent="0.2">
      <c r="A85" s="6"/>
      <c r="B85" s="7" t="s">
        <v>282</v>
      </c>
      <c r="C85" s="7"/>
      <c r="D85" s="7">
        <v>1</v>
      </c>
      <c r="E85" s="7" t="s">
        <v>124</v>
      </c>
      <c r="F85" s="8"/>
      <c r="G85" s="7"/>
      <c r="H85" s="7"/>
      <c r="I85" s="10"/>
      <c r="J85" s="26"/>
      <c r="K85" s="18"/>
    </row>
    <row r="86" spans="1:11" x14ac:dyDescent="0.2">
      <c r="A86" s="6"/>
      <c r="B86" s="7" t="s">
        <v>283</v>
      </c>
      <c r="C86" s="7"/>
      <c r="D86" s="7">
        <v>5</v>
      </c>
      <c r="E86" s="7" t="s">
        <v>124</v>
      </c>
      <c r="F86" s="8"/>
      <c r="G86" s="7"/>
      <c r="H86" s="7"/>
      <c r="I86" s="10"/>
      <c r="J86" s="26"/>
      <c r="K86" s="18"/>
    </row>
    <row r="87" spans="1:11" x14ac:dyDescent="0.2">
      <c r="A87" s="6"/>
      <c r="B87" s="7" t="s">
        <v>281</v>
      </c>
      <c r="C87" s="7"/>
      <c r="D87" s="7">
        <v>2</v>
      </c>
      <c r="E87" s="7" t="s">
        <v>124</v>
      </c>
      <c r="F87" s="8"/>
      <c r="G87" s="7"/>
      <c r="H87" s="7"/>
      <c r="I87" s="10"/>
      <c r="J87" s="26"/>
      <c r="K87" s="18"/>
    </row>
    <row r="88" spans="1:11" x14ac:dyDescent="0.2">
      <c r="A88" s="6" t="s">
        <v>211</v>
      </c>
      <c r="B88" s="7"/>
      <c r="C88" s="7"/>
      <c r="D88" s="7"/>
      <c r="E88" s="7"/>
      <c r="F88" s="8"/>
      <c r="G88" s="7"/>
      <c r="H88" s="7"/>
      <c r="I88" s="10"/>
      <c r="J88" s="26">
        <f>SUM(I73:I87)</f>
        <v>0</v>
      </c>
      <c r="K88" s="11"/>
    </row>
    <row r="89" spans="1:11" x14ac:dyDescent="0.2">
      <c r="A89" s="6" t="s">
        <v>208</v>
      </c>
      <c r="B89" s="7" t="s">
        <v>88</v>
      </c>
      <c r="C89" s="7" t="s">
        <v>249</v>
      </c>
      <c r="D89" s="7">
        <v>20</v>
      </c>
      <c r="E89" s="7" t="s">
        <v>124</v>
      </c>
      <c r="F89" s="8"/>
      <c r="G89" s="7"/>
      <c r="H89" s="7"/>
      <c r="I89" s="10"/>
      <c r="J89" s="26"/>
      <c r="K89" s="18"/>
    </row>
    <row r="90" spans="1:11" x14ac:dyDescent="0.2">
      <c r="A90" s="6"/>
      <c r="B90" s="7" t="s">
        <v>89</v>
      </c>
      <c r="C90" s="7" t="s">
        <v>250</v>
      </c>
      <c r="D90" s="7">
        <v>5</v>
      </c>
      <c r="E90" s="7" t="s">
        <v>124</v>
      </c>
      <c r="F90" s="8" t="s">
        <v>267</v>
      </c>
      <c r="G90" s="7"/>
      <c r="H90" s="7"/>
      <c r="I90" s="10"/>
      <c r="J90" s="26"/>
      <c r="K90" s="18"/>
    </row>
    <row r="91" spans="1:11" x14ac:dyDescent="0.2">
      <c r="A91" s="6"/>
      <c r="B91" s="7" t="s">
        <v>266</v>
      </c>
      <c r="C91" s="7" t="s">
        <v>251</v>
      </c>
      <c r="D91" s="7">
        <v>0.5</v>
      </c>
      <c r="E91" s="7" t="s">
        <v>124</v>
      </c>
      <c r="F91" s="8" t="s">
        <v>267</v>
      </c>
      <c r="G91" s="7"/>
      <c r="H91" s="7"/>
      <c r="I91" s="10"/>
      <c r="J91" s="26"/>
      <c r="K91" s="18"/>
    </row>
    <row r="92" spans="1:11" x14ac:dyDescent="0.2">
      <c r="A92" s="6"/>
      <c r="B92" s="7" t="s">
        <v>90</v>
      </c>
      <c r="C92" s="7" t="s">
        <v>252</v>
      </c>
      <c r="D92" s="7">
        <v>10</v>
      </c>
      <c r="E92" s="7" t="s">
        <v>124</v>
      </c>
      <c r="F92" s="8" t="s">
        <v>268</v>
      </c>
      <c r="G92" s="7"/>
      <c r="H92" s="7"/>
      <c r="I92" s="10"/>
      <c r="J92" s="26"/>
      <c r="K92" s="18"/>
    </row>
    <row r="93" spans="1:11" x14ac:dyDescent="0.2">
      <c r="A93" s="6"/>
      <c r="B93" s="7" t="s">
        <v>91</v>
      </c>
      <c r="C93" s="7" t="s">
        <v>253</v>
      </c>
      <c r="D93" s="7">
        <v>3.5</v>
      </c>
      <c r="E93" s="7" t="s">
        <v>124</v>
      </c>
      <c r="F93" s="8" t="s">
        <v>271</v>
      </c>
      <c r="G93" s="7"/>
      <c r="H93" s="7"/>
      <c r="I93" s="10"/>
      <c r="J93" s="26"/>
      <c r="K93" s="18"/>
    </row>
    <row r="94" spans="1:11" x14ac:dyDescent="0.2">
      <c r="A94" s="6"/>
      <c r="B94" s="7" t="s">
        <v>92</v>
      </c>
      <c r="C94" s="7" t="s">
        <v>254</v>
      </c>
      <c r="D94" s="7">
        <v>3</v>
      </c>
      <c r="E94" s="7" t="s">
        <v>124</v>
      </c>
      <c r="F94" s="8" t="s">
        <v>269</v>
      </c>
      <c r="G94" s="7"/>
      <c r="H94" s="7"/>
      <c r="I94" s="10"/>
      <c r="J94" s="26"/>
      <c r="K94" s="18"/>
    </row>
    <row r="95" spans="1:11" x14ac:dyDescent="0.2">
      <c r="A95" s="6"/>
      <c r="B95" s="7" t="s">
        <v>93</v>
      </c>
      <c r="C95" s="7" t="s">
        <v>255</v>
      </c>
      <c r="D95" s="7">
        <v>2</v>
      </c>
      <c r="E95" s="7" t="s">
        <v>124</v>
      </c>
      <c r="F95" s="8" t="s">
        <v>270</v>
      </c>
      <c r="G95" s="7"/>
      <c r="H95" s="7"/>
      <c r="I95" s="10"/>
      <c r="J95" s="26"/>
      <c r="K95" s="18"/>
    </row>
    <row r="96" spans="1:11" x14ac:dyDescent="0.2">
      <c r="A96" s="6"/>
      <c r="B96" s="7" t="s">
        <v>94</v>
      </c>
      <c r="C96" s="7" t="s">
        <v>256</v>
      </c>
      <c r="D96" s="7">
        <v>0.5</v>
      </c>
      <c r="E96" s="7" t="s">
        <v>124</v>
      </c>
      <c r="F96" s="8" t="s">
        <v>270</v>
      </c>
      <c r="G96" s="7"/>
      <c r="H96" s="7"/>
      <c r="I96" s="10"/>
      <c r="J96" s="26"/>
      <c r="K96" s="18"/>
    </row>
    <row r="97" spans="1:11" x14ac:dyDescent="0.2">
      <c r="A97" s="6"/>
      <c r="B97" s="7" t="s">
        <v>95</v>
      </c>
      <c r="C97" s="7" t="s">
        <v>257</v>
      </c>
      <c r="D97" s="7">
        <v>1</v>
      </c>
      <c r="E97" s="7" t="s">
        <v>124</v>
      </c>
      <c r="F97" s="8" t="s">
        <v>270</v>
      </c>
      <c r="G97" s="7"/>
      <c r="H97" s="7"/>
      <c r="I97" s="10"/>
      <c r="J97" s="26"/>
      <c r="K97" s="18"/>
    </row>
    <row r="98" spans="1:11" x14ac:dyDescent="0.2">
      <c r="A98" s="6"/>
      <c r="B98" s="7" t="s">
        <v>96</v>
      </c>
      <c r="C98" s="7" t="s">
        <v>258</v>
      </c>
      <c r="D98" s="7">
        <v>2</v>
      </c>
      <c r="E98" s="7" t="s">
        <v>124</v>
      </c>
      <c r="F98" s="8" t="s">
        <v>270</v>
      </c>
      <c r="G98" s="7"/>
      <c r="H98" s="7"/>
      <c r="I98" s="10"/>
      <c r="J98" s="26"/>
      <c r="K98" s="18"/>
    </row>
    <row r="99" spans="1:11" x14ac:dyDescent="0.2">
      <c r="A99" s="6"/>
      <c r="B99" s="7" t="s">
        <v>97</v>
      </c>
      <c r="C99" s="7" t="s">
        <v>259</v>
      </c>
      <c r="D99" s="7">
        <v>0.5</v>
      </c>
      <c r="E99" s="7" t="s">
        <v>124</v>
      </c>
      <c r="F99" s="8" t="s">
        <v>270</v>
      </c>
      <c r="G99" s="7"/>
      <c r="H99" s="7"/>
      <c r="I99" s="10"/>
      <c r="J99" s="26"/>
      <c r="K99" s="18"/>
    </row>
    <row r="100" spans="1:11" x14ac:dyDescent="0.2">
      <c r="A100" s="6"/>
      <c r="B100" s="7" t="s">
        <v>98</v>
      </c>
      <c r="C100" s="7" t="s">
        <v>260</v>
      </c>
      <c r="D100" s="7">
        <v>1</v>
      </c>
      <c r="E100" s="7" t="s">
        <v>124</v>
      </c>
      <c r="F100" s="8" t="s">
        <v>270</v>
      </c>
      <c r="G100" s="7"/>
      <c r="H100" s="7"/>
      <c r="I100" s="10"/>
      <c r="J100" s="26"/>
      <c r="K100" s="18"/>
    </row>
    <row r="101" spans="1:11" x14ac:dyDescent="0.2">
      <c r="A101" s="6"/>
      <c r="B101" s="7" t="s">
        <v>99</v>
      </c>
      <c r="C101" s="7" t="s">
        <v>261</v>
      </c>
      <c r="D101" s="7">
        <v>20</v>
      </c>
      <c r="E101" s="7" t="s">
        <v>124</v>
      </c>
      <c r="F101" s="8" t="s">
        <v>272</v>
      </c>
      <c r="G101" s="7"/>
      <c r="H101" s="7"/>
      <c r="I101" s="10"/>
      <c r="J101" s="26"/>
      <c r="K101" s="18"/>
    </row>
    <row r="102" spans="1:11" x14ac:dyDescent="0.2">
      <c r="A102" s="6"/>
      <c r="B102" s="7" t="s">
        <v>100</v>
      </c>
      <c r="C102" s="7" t="s">
        <v>262</v>
      </c>
      <c r="D102" s="7">
        <v>20</v>
      </c>
      <c r="E102" s="7" t="s">
        <v>124</v>
      </c>
      <c r="F102" s="8" t="s">
        <v>272</v>
      </c>
      <c r="G102" s="7"/>
      <c r="H102" s="7"/>
      <c r="I102" s="10"/>
      <c r="J102" s="26"/>
      <c r="K102" s="18"/>
    </row>
    <row r="103" spans="1:11" x14ac:dyDescent="0.2">
      <c r="A103" s="6"/>
      <c r="B103" s="7" t="s">
        <v>101</v>
      </c>
      <c r="C103" s="7" t="s">
        <v>263</v>
      </c>
      <c r="D103" s="7">
        <v>20</v>
      </c>
      <c r="E103" s="7" t="s">
        <v>124</v>
      </c>
      <c r="F103" s="8" t="s">
        <v>272</v>
      </c>
      <c r="G103" s="7"/>
      <c r="H103" s="7"/>
      <c r="I103" s="10"/>
      <c r="J103" s="26"/>
      <c r="K103" s="18"/>
    </row>
    <row r="104" spans="1:11" x14ac:dyDescent="0.2">
      <c r="A104" s="6"/>
      <c r="B104" s="7" t="s">
        <v>102</v>
      </c>
      <c r="C104" s="7" t="s">
        <v>264</v>
      </c>
      <c r="D104" s="7">
        <v>9</v>
      </c>
      <c r="E104" s="7" t="s">
        <v>122</v>
      </c>
      <c r="F104" s="8"/>
      <c r="G104" s="7"/>
      <c r="H104" s="7"/>
      <c r="I104" s="10"/>
      <c r="J104" s="26"/>
      <c r="K104" s="18"/>
    </row>
    <row r="105" spans="1:11" x14ac:dyDescent="0.2">
      <c r="A105" s="6"/>
      <c r="B105" s="7" t="s">
        <v>103</v>
      </c>
      <c r="C105" s="7" t="s">
        <v>265</v>
      </c>
      <c r="D105" s="7">
        <v>5.5</v>
      </c>
      <c r="E105" s="7" t="s">
        <v>122</v>
      </c>
      <c r="F105" s="8"/>
      <c r="G105" s="7"/>
      <c r="H105" s="7"/>
      <c r="I105" s="10"/>
      <c r="J105" s="26"/>
      <c r="K105" s="18"/>
    </row>
    <row r="106" spans="1:11" x14ac:dyDescent="0.2">
      <c r="A106" s="6"/>
      <c r="B106" s="7" t="s">
        <v>104</v>
      </c>
      <c r="C106" s="7"/>
      <c r="D106" s="7">
        <v>2</v>
      </c>
      <c r="E106" s="7" t="s">
        <v>122</v>
      </c>
      <c r="F106" s="8"/>
      <c r="G106" s="7"/>
      <c r="H106" s="7"/>
      <c r="I106" s="10"/>
      <c r="J106" s="26"/>
      <c r="K106" s="18"/>
    </row>
    <row r="107" spans="1:11" x14ac:dyDescent="0.2">
      <c r="A107" s="6"/>
      <c r="B107" s="7" t="s">
        <v>105</v>
      </c>
      <c r="C107" s="7"/>
      <c r="D107" s="7">
        <v>1</v>
      </c>
      <c r="E107" s="7" t="s">
        <v>122</v>
      </c>
      <c r="F107" s="8"/>
      <c r="G107" s="7"/>
      <c r="H107" s="7"/>
      <c r="I107" s="10"/>
      <c r="J107" s="26"/>
      <c r="K107" s="18"/>
    </row>
    <row r="108" spans="1:11" x14ac:dyDescent="0.2">
      <c r="A108" s="6"/>
      <c r="B108" s="7"/>
      <c r="C108" s="7"/>
      <c r="D108" s="7"/>
      <c r="E108" s="7"/>
      <c r="F108" s="8"/>
      <c r="G108" s="7"/>
      <c r="H108" s="7"/>
      <c r="I108" s="10"/>
      <c r="J108" s="26">
        <f>SUM(I89:I107)</f>
        <v>0</v>
      </c>
      <c r="K108" s="11"/>
    </row>
    <row r="109" spans="1:11" x14ac:dyDescent="0.2">
      <c r="A109" s="6" t="s">
        <v>207</v>
      </c>
      <c r="B109" s="7" t="s">
        <v>174</v>
      </c>
      <c r="C109" s="7" t="s">
        <v>199</v>
      </c>
      <c r="D109" s="7">
        <v>2</v>
      </c>
      <c r="E109" s="7" t="s">
        <v>124</v>
      </c>
      <c r="F109" s="8" t="s">
        <v>206</v>
      </c>
      <c r="G109" s="7"/>
      <c r="H109" s="7"/>
      <c r="I109" s="10"/>
      <c r="J109" s="26"/>
      <c r="K109" s="18"/>
    </row>
    <row r="110" spans="1:11" x14ac:dyDescent="0.2">
      <c r="A110" s="6"/>
      <c r="B110" s="7" t="s">
        <v>175</v>
      </c>
      <c r="C110" s="7" t="s">
        <v>200</v>
      </c>
      <c r="D110" s="7">
        <v>1</v>
      </c>
      <c r="E110" s="7" t="s">
        <v>124</v>
      </c>
      <c r="F110" s="8" t="s">
        <v>201</v>
      </c>
      <c r="G110" s="7"/>
      <c r="H110" s="7"/>
      <c r="I110" s="10"/>
      <c r="J110" s="26"/>
      <c r="K110" s="18"/>
    </row>
    <row r="111" spans="1:11" x14ac:dyDescent="0.2">
      <c r="A111" s="6"/>
      <c r="B111" s="7" t="s">
        <v>176</v>
      </c>
      <c r="C111" s="7" t="s">
        <v>202</v>
      </c>
      <c r="D111" s="7">
        <v>2</v>
      </c>
      <c r="E111" s="7" t="s">
        <v>124</v>
      </c>
      <c r="F111" s="8" t="s">
        <v>205</v>
      </c>
      <c r="G111" s="7"/>
      <c r="H111" s="7"/>
      <c r="I111" s="10"/>
      <c r="J111" s="26"/>
      <c r="K111" s="18"/>
    </row>
    <row r="112" spans="1:11" x14ac:dyDescent="0.2">
      <c r="A112" s="6"/>
      <c r="B112" s="7" t="s">
        <v>177</v>
      </c>
      <c r="C112" s="7" t="s">
        <v>203</v>
      </c>
      <c r="D112" s="7">
        <v>2</v>
      </c>
      <c r="E112" s="7" t="s">
        <v>124</v>
      </c>
      <c r="F112" s="8" t="s">
        <v>205</v>
      </c>
      <c r="G112" s="7"/>
      <c r="H112" s="7"/>
      <c r="I112" s="10"/>
      <c r="J112" s="26"/>
      <c r="K112" s="18"/>
    </row>
    <row r="113" spans="1:11" x14ac:dyDescent="0.2">
      <c r="A113" s="6"/>
      <c r="B113" s="7" t="s">
        <v>178</v>
      </c>
      <c r="C113" s="7" t="s">
        <v>204</v>
      </c>
      <c r="D113" s="7">
        <v>1</v>
      </c>
      <c r="E113" s="7" t="s">
        <v>124</v>
      </c>
      <c r="F113" s="8" t="s">
        <v>205</v>
      </c>
      <c r="G113" s="7"/>
      <c r="H113" s="7"/>
      <c r="I113" s="10"/>
      <c r="J113" s="26"/>
      <c r="K113" s="18"/>
    </row>
    <row r="114" spans="1:11" x14ac:dyDescent="0.2">
      <c r="A114" s="6"/>
      <c r="B114" s="7"/>
      <c r="C114" s="7"/>
      <c r="D114" s="7"/>
      <c r="E114" s="7"/>
      <c r="F114" s="8"/>
      <c r="G114" s="7"/>
      <c r="H114" s="7"/>
      <c r="I114" s="10"/>
      <c r="J114" s="26">
        <f>SUM(I109:I113)</f>
        <v>0</v>
      </c>
      <c r="K114" s="11"/>
    </row>
    <row r="115" spans="1:11" x14ac:dyDescent="0.2">
      <c r="A115" s="6" t="s">
        <v>106</v>
      </c>
      <c r="B115" s="7" t="s">
        <v>107</v>
      </c>
      <c r="C115" s="7" t="s">
        <v>182</v>
      </c>
      <c r="D115" s="7">
        <v>1</v>
      </c>
      <c r="E115" s="7" t="s">
        <v>124</v>
      </c>
      <c r="F115" s="8" t="s">
        <v>273</v>
      </c>
      <c r="G115" s="7"/>
      <c r="H115" s="7"/>
      <c r="I115" s="10"/>
      <c r="J115" s="26"/>
      <c r="K115" s="18"/>
    </row>
    <row r="116" spans="1:11" x14ac:dyDescent="0.2">
      <c r="A116" s="6"/>
      <c r="B116" s="7" t="s">
        <v>108</v>
      </c>
      <c r="C116" s="7" t="s">
        <v>181</v>
      </c>
      <c r="D116" s="7">
        <v>1</v>
      </c>
      <c r="E116" s="7" t="s">
        <v>122</v>
      </c>
      <c r="F116" s="8"/>
      <c r="G116" s="7"/>
      <c r="H116" s="7"/>
      <c r="I116" s="10"/>
      <c r="J116" s="26"/>
      <c r="K116" s="18"/>
    </row>
    <row r="117" spans="1:11" x14ac:dyDescent="0.2">
      <c r="A117" s="6"/>
      <c r="B117" s="7" t="s">
        <v>276</v>
      </c>
      <c r="C117" s="7" t="s">
        <v>180</v>
      </c>
      <c r="D117" s="7">
        <v>1</v>
      </c>
      <c r="E117" s="7" t="s">
        <v>124</v>
      </c>
      <c r="F117" s="8" t="s">
        <v>278</v>
      </c>
      <c r="G117" s="7"/>
      <c r="H117" s="7"/>
      <c r="I117" s="10"/>
      <c r="J117" s="26"/>
      <c r="K117" s="18"/>
    </row>
    <row r="118" spans="1:11" x14ac:dyDescent="0.2">
      <c r="A118" s="20"/>
      <c r="B118" s="21" t="s">
        <v>274</v>
      </c>
      <c r="C118" s="21" t="s">
        <v>179</v>
      </c>
      <c r="D118" s="7">
        <v>1</v>
      </c>
      <c r="E118" s="7" t="s">
        <v>124</v>
      </c>
      <c r="F118" s="22" t="s">
        <v>277</v>
      </c>
      <c r="G118" s="21"/>
      <c r="H118" s="21"/>
      <c r="I118" s="10"/>
      <c r="J118" s="28"/>
      <c r="K118" s="24"/>
    </row>
    <row r="119" spans="1:11" x14ac:dyDescent="0.2">
      <c r="A119" s="20" t="s">
        <v>211</v>
      </c>
      <c r="B119" s="21"/>
      <c r="C119" s="21"/>
      <c r="D119" s="21"/>
      <c r="E119" s="21"/>
      <c r="F119" s="22"/>
      <c r="G119" s="21"/>
      <c r="H119" s="21"/>
      <c r="I119" s="23"/>
      <c r="J119" s="26">
        <f>SUM(I115:I118)</f>
        <v>0</v>
      </c>
      <c r="K119" s="24"/>
    </row>
    <row r="120" spans="1:11" ht="15" thickBot="1" x14ac:dyDescent="0.25">
      <c r="A120" s="12" t="s">
        <v>275</v>
      </c>
      <c r="B120" s="13"/>
      <c r="C120" s="13"/>
      <c r="D120" s="13"/>
      <c r="E120" s="13"/>
      <c r="F120" s="14"/>
      <c r="G120" s="13"/>
      <c r="H120" s="13"/>
      <c r="I120" s="15"/>
      <c r="J120" s="29"/>
      <c r="K120" s="30">
        <f>SUM(J2:J119)</f>
        <v>0</v>
      </c>
    </row>
  </sheetData>
  <phoneticPr fontId="18" type="noConversion"/>
  <conditionalFormatting sqref="G71:G72 H66:H72 E2:E34 E119:E120 E85:E117 E36:E83">
    <cfRule type="cellIs" dxfId="19" priority="28" operator="equal">
      <formula>"已下单"</formula>
    </cfRule>
    <cfRule type="cellIs" dxfId="18" priority="29" operator="equal">
      <formula>"不用采购"</formula>
    </cfRule>
    <cfRule type="cellIs" dxfId="17" priority="30" operator="equal">
      <formula>"未采购"</formula>
    </cfRule>
  </conditionalFormatting>
  <conditionalFormatting sqref="G71:G72 H66:H72 E2:E34 E119:E120 E85:E117 E36:E83">
    <cfRule type="cellIs" dxfId="16" priority="27" operator="equal">
      <formula>"已到货"</formula>
    </cfRule>
  </conditionalFormatting>
  <conditionalFormatting sqref="G71:G72 H66:H72 E2:E34 E119:E120 E85:E117 E36:E83">
    <cfRule type="cellIs" dxfId="15" priority="26" operator="equal">
      <formula>"购物车"</formula>
    </cfRule>
  </conditionalFormatting>
  <conditionalFormatting sqref="E35">
    <cfRule type="cellIs" dxfId="14" priority="23" operator="equal">
      <formula>"已下单"</formula>
    </cfRule>
    <cfRule type="cellIs" dxfId="13" priority="24" operator="equal">
      <formula>"不用采购"</formula>
    </cfRule>
    <cfRule type="cellIs" dxfId="12" priority="25" operator="equal">
      <formula>"未采购"</formula>
    </cfRule>
  </conditionalFormatting>
  <conditionalFormatting sqref="E35">
    <cfRule type="cellIs" dxfId="11" priority="22" operator="equal">
      <formula>"已到货"</formula>
    </cfRule>
  </conditionalFormatting>
  <conditionalFormatting sqref="E35">
    <cfRule type="cellIs" dxfId="10" priority="21" operator="equal">
      <formula>"购物车"</formula>
    </cfRule>
  </conditionalFormatting>
  <conditionalFormatting sqref="E118">
    <cfRule type="cellIs" dxfId="9" priority="8" operator="equal">
      <formula>"已下单"</formula>
    </cfRule>
    <cfRule type="cellIs" dxfId="8" priority="9" operator="equal">
      <formula>"不用采购"</formula>
    </cfRule>
    <cfRule type="cellIs" dxfId="7" priority="10" operator="equal">
      <formula>"未采购"</formula>
    </cfRule>
  </conditionalFormatting>
  <conditionalFormatting sqref="E118">
    <cfRule type="cellIs" dxfId="6" priority="7" operator="equal">
      <formula>"已到货"</formula>
    </cfRule>
  </conditionalFormatting>
  <conditionalFormatting sqref="E118">
    <cfRule type="cellIs" dxfId="5" priority="6" operator="equal">
      <formula>"购物车"</formula>
    </cfRule>
  </conditionalFormatting>
  <conditionalFormatting sqref="E84">
    <cfRule type="cellIs" dxfId="4" priority="3" operator="equal">
      <formula>"已下单"</formula>
    </cfRule>
    <cfRule type="cellIs" dxfId="3" priority="4" operator="equal">
      <formula>"不用采购"</formula>
    </cfRule>
    <cfRule type="cellIs" dxfId="2" priority="5" operator="equal">
      <formula>"未采购"</formula>
    </cfRule>
  </conditionalFormatting>
  <conditionalFormatting sqref="E84">
    <cfRule type="cellIs" dxfId="1" priority="2" operator="equal">
      <formula>"已到货"</formula>
    </cfRule>
  </conditionalFormatting>
  <conditionalFormatting sqref="E84">
    <cfRule type="cellIs" dxfId="0" priority="1" operator="equal">
      <formula>"购物车"</formula>
    </cfRule>
  </conditionalFormatting>
  <dataValidations count="1">
    <dataValidation type="list" allowBlank="1" showInputMessage="1" showErrorMessage="1" sqref="E2:E120" xr:uid="{00000000-0002-0000-0000-000000000000}">
      <formula1>"不用采购,未采购,购物车,已下单,已到货"</formula1>
    </dataValidation>
  </dataValidations>
  <hyperlinks>
    <hyperlink ref="F2" r:id="rId1" xr:uid="{00000000-0004-0000-0000-000000000000}"/>
    <hyperlink ref="F3:F4" r:id="rId2" display="https://detail.tmall.com/item.htm?spm=a230r.1.14.84.7fa53a5c7PRoY8&amp;id=526444785564&amp;ns=1&amp;abbucket=13&amp;skuId=4689711815827" xr:uid="{00000000-0004-0000-0000-000001000000}"/>
    <hyperlink ref="F7" r:id="rId3" xr:uid="{00000000-0004-0000-0000-000002000000}"/>
    <hyperlink ref="F21" r:id="rId4" xr:uid="{00000000-0004-0000-0000-000003000000}"/>
    <hyperlink ref="F109" r:id="rId5" xr:uid="{40D37761-FFEA-4C30-968C-7891E2EED3AF}"/>
    <hyperlink ref="F56" r:id="rId6" xr:uid="{7B598103-B196-4363-8C72-77AC130B3A03}"/>
    <hyperlink ref="F93" r:id="rId7" xr:uid="{C3768549-2D29-4562-BD2F-D401F9C3B7C6}"/>
    <hyperlink ref="F41" r:id="rId8" location="detail" xr:uid="{F83540C1-B98E-480A-810E-BE4E8072BE5E}"/>
    <hyperlink ref="F25" r:id="rId9" xr:uid="{AD76471C-BF92-4DDF-A2F9-1816911827A7}"/>
    <hyperlink ref="F35" r:id="rId10" xr:uid="{0D0C62B0-4FAD-42BE-98FD-02CC390E4768}"/>
    <hyperlink ref="F34" r:id="rId11" xr:uid="{F011F000-9EAB-427D-8EC0-8F413AFCE75F}"/>
  </hyperlinks>
  <pageMargins left="0.7" right="0.7" top="0.75" bottom="0.75" header="0.3" footer="0.3"/>
  <pageSetup paperSize="9" orientation="portrait" verticalDpi="0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采购清单_带连接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songyx</dc:creator>
  <cp:lastModifiedBy>ZYX</cp:lastModifiedBy>
  <dcterms:created xsi:type="dcterms:W3CDTF">2021-04-26T08:21:04Z</dcterms:created>
  <dcterms:modified xsi:type="dcterms:W3CDTF">2022-08-16T03:43:43Z</dcterms:modified>
</cp:coreProperties>
</file>